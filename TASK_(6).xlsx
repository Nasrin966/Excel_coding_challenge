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AE7D168-65F7-4411-9A4D-8923050D8A8B}" xr6:coauthVersionLast="47" xr6:coauthVersionMax="47" xr10:uidLastSave="{00000000-0000-0000-0000-000000000000}"/>
  <bookViews>
    <workbookView xWindow="-120" yWindow="-120" windowWidth="20730" windowHeight="11040" activeTab="5" xr2:uid="{16E18FDD-A7FF-495F-BEF6-5B8A734AFB86}"/>
  </bookViews>
  <sheets>
    <sheet name="Sheet1 (2)" sheetId="3" r:id="rId1"/>
    <sheet name="Sheet1" sheetId="1" r:id="rId2"/>
    <sheet name="CLEANING" sheetId="11" r:id="rId3"/>
    <sheet name="Drop down list" sheetId="2" r:id="rId4"/>
    <sheet name="Data(Dropdown)" sheetId="8" r:id="rId5"/>
    <sheet name="CLEANED" sheetId="1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3" l="1"/>
  <c r="M3" i="3"/>
  <c r="P8" i="11" a="1"/>
  <c r="P8" i="11"/>
  <c r="B5" i="13"/>
  <c r="J2" i="11"/>
  <c r="J3" i="11"/>
  <c r="L14" i="11"/>
  <c r="L25" i="11"/>
  <c r="L33" i="11"/>
  <c r="L46" i="11"/>
  <c r="L57" i="11"/>
  <c r="L65" i="11"/>
  <c r="L78" i="11"/>
  <c r="L89" i="11"/>
  <c r="L97" i="11"/>
  <c r="L110" i="11"/>
  <c r="L121" i="11"/>
  <c r="L142" i="11"/>
  <c r="K2" i="11"/>
  <c r="L2" i="11" s="1"/>
  <c r="K3" i="11"/>
  <c r="L3" i="11" s="1"/>
  <c r="K4" i="11"/>
  <c r="L4" i="11" s="1"/>
  <c r="K5" i="11"/>
  <c r="L5" i="11" s="1"/>
  <c r="K6" i="11"/>
  <c r="L6" i="11" s="1"/>
  <c r="K7" i="11"/>
  <c r="L7" i="11" s="1"/>
  <c r="K8" i="11"/>
  <c r="L8" i="11" s="1"/>
  <c r="K9" i="11"/>
  <c r="B9" i="13" s="1"/>
  <c r="K10" i="11"/>
  <c r="L10" i="11" s="1"/>
  <c r="K11" i="11"/>
  <c r="L11" i="11" s="1"/>
  <c r="K12" i="11"/>
  <c r="L12" i="11" s="1"/>
  <c r="K13" i="11"/>
  <c r="L13" i="11" s="1"/>
  <c r="K14" i="11"/>
  <c r="B14" i="13" s="1"/>
  <c r="K15" i="11"/>
  <c r="L15" i="11" s="1"/>
  <c r="K16" i="11"/>
  <c r="L16" i="11" s="1"/>
  <c r="K17" i="11"/>
  <c r="B17" i="13" s="1"/>
  <c r="K18" i="11"/>
  <c r="L18" i="11" s="1"/>
  <c r="K19" i="11"/>
  <c r="L19" i="11" s="1"/>
  <c r="K20" i="11"/>
  <c r="L20" i="11" s="1"/>
  <c r="K21" i="11"/>
  <c r="L21" i="11" s="1"/>
  <c r="K22" i="11"/>
  <c r="B22" i="13" s="1"/>
  <c r="K23" i="11"/>
  <c r="L23" i="11" s="1"/>
  <c r="K24" i="11"/>
  <c r="L24" i="11" s="1"/>
  <c r="K25" i="11"/>
  <c r="B25" i="13" s="1"/>
  <c r="K26" i="11"/>
  <c r="L26" i="11" s="1"/>
  <c r="K27" i="11"/>
  <c r="L27" i="11" s="1"/>
  <c r="K28" i="11"/>
  <c r="L28" i="11" s="1"/>
  <c r="K29" i="11"/>
  <c r="L29" i="11" s="1"/>
  <c r="K30" i="11"/>
  <c r="L30" i="11" s="1"/>
  <c r="K31" i="11"/>
  <c r="L31" i="11" s="1"/>
  <c r="K32" i="11"/>
  <c r="L32" i="11" s="1"/>
  <c r="K33" i="11"/>
  <c r="B33" i="13" s="1"/>
  <c r="K34" i="11"/>
  <c r="L34" i="11" s="1"/>
  <c r="K35" i="11"/>
  <c r="L35" i="11" s="1"/>
  <c r="K36" i="11"/>
  <c r="L36" i="11" s="1"/>
  <c r="K37" i="11"/>
  <c r="L37" i="11" s="1"/>
  <c r="K38" i="11"/>
  <c r="L38" i="11" s="1"/>
  <c r="K39" i="11"/>
  <c r="L39" i="11" s="1"/>
  <c r="K40" i="11"/>
  <c r="L40" i="11" s="1"/>
  <c r="K41" i="11"/>
  <c r="B41" i="13" s="1"/>
  <c r="K42" i="11"/>
  <c r="L42" i="11" s="1"/>
  <c r="K43" i="11"/>
  <c r="L43" i="11" s="1"/>
  <c r="K44" i="11"/>
  <c r="L44" i="11" s="1"/>
  <c r="K45" i="11"/>
  <c r="L45" i="11" s="1"/>
  <c r="K46" i="11"/>
  <c r="B46" i="13" s="1"/>
  <c r="K47" i="11"/>
  <c r="L47" i="11" s="1"/>
  <c r="K48" i="11"/>
  <c r="L48" i="11" s="1"/>
  <c r="K49" i="11"/>
  <c r="B49" i="13" s="1"/>
  <c r="K50" i="11"/>
  <c r="L50" i="11" s="1"/>
  <c r="K51" i="11"/>
  <c r="L51" i="11" s="1"/>
  <c r="K52" i="11"/>
  <c r="L52" i="11" s="1"/>
  <c r="K53" i="11"/>
  <c r="L53" i="11" s="1"/>
  <c r="K54" i="11"/>
  <c r="B54" i="13" s="1"/>
  <c r="K55" i="11"/>
  <c r="L55" i="11" s="1"/>
  <c r="K56" i="11"/>
  <c r="L56" i="11" s="1"/>
  <c r="K57" i="11"/>
  <c r="B57" i="13" s="1"/>
  <c r="K58" i="11"/>
  <c r="L58" i="11" s="1"/>
  <c r="K59" i="11"/>
  <c r="L59" i="11" s="1"/>
  <c r="K60" i="11"/>
  <c r="L60" i="11" s="1"/>
  <c r="K61" i="11"/>
  <c r="L61" i="11" s="1"/>
  <c r="K62" i="11"/>
  <c r="L62" i="11" s="1"/>
  <c r="K63" i="11"/>
  <c r="L63" i="11" s="1"/>
  <c r="K64" i="11"/>
  <c r="L64" i="11" s="1"/>
  <c r="K65" i="11"/>
  <c r="B65" i="13" s="1"/>
  <c r="K66" i="11"/>
  <c r="L66" i="11" s="1"/>
  <c r="K67" i="11"/>
  <c r="L67" i="11" s="1"/>
  <c r="K68" i="11"/>
  <c r="L68" i="11" s="1"/>
  <c r="K69" i="11"/>
  <c r="L69" i="11" s="1"/>
  <c r="K70" i="11"/>
  <c r="L70" i="11" s="1"/>
  <c r="K71" i="11"/>
  <c r="L71" i="11" s="1"/>
  <c r="K72" i="11"/>
  <c r="L72" i="11" s="1"/>
  <c r="K73" i="11"/>
  <c r="B73" i="13" s="1"/>
  <c r="K74" i="11"/>
  <c r="L74" i="11" s="1"/>
  <c r="K75" i="11"/>
  <c r="L75" i="11" s="1"/>
  <c r="K76" i="11"/>
  <c r="L76" i="11" s="1"/>
  <c r="K77" i="11"/>
  <c r="L77" i="11" s="1"/>
  <c r="K78" i="11"/>
  <c r="B78" i="13" s="1"/>
  <c r="K79" i="11"/>
  <c r="L79" i="11" s="1"/>
  <c r="K80" i="11"/>
  <c r="L80" i="11" s="1"/>
  <c r="K81" i="11"/>
  <c r="B81" i="13" s="1"/>
  <c r="K82" i="11"/>
  <c r="L82" i="11" s="1"/>
  <c r="K83" i="11"/>
  <c r="L83" i="11" s="1"/>
  <c r="K84" i="11"/>
  <c r="L84" i="11" s="1"/>
  <c r="K85" i="11"/>
  <c r="L85" i="11" s="1"/>
  <c r="K86" i="11"/>
  <c r="B86" i="13" s="1"/>
  <c r="K87" i="11"/>
  <c r="L87" i="11" s="1"/>
  <c r="K88" i="11"/>
  <c r="L88" i="11" s="1"/>
  <c r="K89" i="11"/>
  <c r="B89" i="13" s="1"/>
  <c r="K90" i="11"/>
  <c r="L90" i="11" s="1"/>
  <c r="K91" i="11"/>
  <c r="L91" i="11" s="1"/>
  <c r="K92" i="11"/>
  <c r="L92" i="11" s="1"/>
  <c r="K93" i="11"/>
  <c r="L93" i="11" s="1"/>
  <c r="K94" i="11"/>
  <c r="L94" i="11" s="1"/>
  <c r="K95" i="11"/>
  <c r="L95" i="11" s="1"/>
  <c r="K96" i="11"/>
  <c r="L96" i="11" s="1"/>
  <c r="K97" i="11"/>
  <c r="B97" i="13" s="1"/>
  <c r="K98" i="11"/>
  <c r="L98" i="11" s="1"/>
  <c r="K99" i="11"/>
  <c r="L99" i="11" s="1"/>
  <c r="K100" i="11"/>
  <c r="L100" i="11" s="1"/>
  <c r="K101" i="11"/>
  <c r="L101" i="11" s="1"/>
  <c r="K102" i="11"/>
  <c r="L102" i="11" s="1"/>
  <c r="K103" i="11"/>
  <c r="L103" i="11" s="1"/>
  <c r="K104" i="11"/>
  <c r="L104" i="11" s="1"/>
  <c r="K105" i="11"/>
  <c r="B105" i="13" s="1"/>
  <c r="K106" i="11"/>
  <c r="L106" i="11" s="1"/>
  <c r="K107" i="11"/>
  <c r="L107" i="11" s="1"/>
  <c r="K108" i="11"/>
  <c r="L108" i="11" s="1"/>
  <c r="K109" i="11"/>
  <c r="L109" i="11" s="1"/>
  <c r="K110" i="11"/>
  <c r="B110" i="13" s="1"/>
  <c r="K111" i="11"/>
  <c r="L111" i="11" s="1"/>
  <c r="K112" i="11"/>
  <c r="L112" i="11" s="1"/>
  <c r="K113" i="11"/>
  <c r="B113" i="13" s="1"/>
  <c r="K114" i="11"/>
  <c r="L114" i="11" s="1"/>
  <c r="K115" i="11"/>
  <c r="L115" i="11" s="1"/>
  <c r="K116" i="11"/>
  <c r="L116" i="11" s="1"/>
  <c r="K117" i="11"/>
  <c r="L117" i="11" s="1"/>
  <c r="K118" i="11"/>
  <c r="B118" i="13" s="1"/>
  <c r="K119" i="11"/>
  <c r="L119" i="11" s="1"/>
  <c r="K120" i="11"/>
  <c r="L120" i="11" s="1"/>
  <c r="K121" i="11"/>
  <c r="B121" i="13" s="1"/>
  <c r="K122" i="11"/>
  <c r="L122" i="11" s="1"/>
  <c r="K123" i="11"/>
  <c r="L123" i="11" s="1"/>
  <c r="K124" i="11"/>
  <c r="L124" i="11" s="1"/>
  <c r="K125" i="11"/>
  <c r="L125" i="11" s="1"/>
  <c r="K126" i="11"/>
  <c r="L126" i="11" s="1"/>
  <c r="K127" i="11"/>
  <c r="L127" i="11" s="1"/>
  <c r="K128" i="11"/>
  <c r="L128" i="11" s="1"/>
  <c r="K129" i="11"/>
  <c r="B129" i="13" s="1"/>
  <c r="K130" i="11"/>
  <c r="L130" i="11" s="1"/>
  <c r="K131" i="11"/>
  <c r="L131" i="11" s="1"/>
  <c r="K132" i="11"/>
  <c r="L132" i="11" s="1"/>
  <c r="K133" i="11"/>
  <c r="L133" i="11" s="1"/>
  <c r="K134" i="11"/>
  <c r="L134" i="11" s="1"/>
  <c r="K135" i="11"/>
  <c r="L135" i="11" s="1"/>
  <c r="K136" i="11"/>
  <c r="L136" i="11" s="1"/>
  <c r="K137" i="11"/>
  <c r="B137" i="13" s="1"/>
  <c r="K138" i="11"/>
  <c r="L138" i="11" s="1"/>
  <c r="K139" i="11"/>
  <c r="L139" i="11" s="1"/>
  <c r="K140" i="11"/>
  <c r="L140" i="11" s="1"/>
  <c r="K141" i="11"/>
  <c r="L141" i="11" s="1"/>
  <c r="K142" i="11"/>
  <c r="B142" i="13" s="1"/>
  <c r="K143" i="11"/>
  <c r="L143" i="11" s="1"/>
  <c r="K144" i="11"/>
  <c r="L144" i="11" s="1"/>
  <c r="K145" i="11"/>
  <c r="B145" i="13" s="1"/>
  <c r="K146" i="11"/>
  <c r="L146" i="11" s="1"/>
  <c r="K147" i="11"/>
  <c r="L147" i="11" s="1"/>
  <c r="K148" i="11"/>
  <c r="L148" i="11" s="1"/>
  <c r="K149" i="11"/>
  <c r="L149" i="11" s="1"/>
  <c r="K150" i="11"/>
  <c r="B150" i="13" s="1"/>
  <c r="K151" i="11"/>
  <c r="L151" i="11" s="1"/>
  <c r="J4" i="11"/>
  <c r="J5" i="11"/>
  <c r="J6" i="11"/>
  <c r="J9" i="11"/>
  <c r="J12" i="11"/>
  <c r="J13" i="11"/>
  <c r="J14" i="11"/>
  <c r="J15" i="11"/>
  <c r="J16" i="11"/>
  <c r="J17" i="11"/>
  <c r="J19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6" i="11"/>
  <c r="J37" i="11"/>
  <c r="J40" i="11"/>
  <c r="J41" i="11"/>
  <c r="J42" i="11"/>
  <c r="J44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5" i="11"/>
  <c r="J77" i="11"/>
  <c r="J78" i="11"/>
  <c r="J79" i="11"/>
  <c r="J80" i="11"/>
  <c r="J81" i="11"/>
  <c r="J83" i="11"/>
  <c r="J84" i="11"/>
  <c r="J86" i="11"/>
  <c r="J87" i="11"/>
  <c r="J88" i="11"/>
  <c r="J89" i="11"/>
  <c r="J90" i="11"/>
  <c r="J91" i="11"/>
  <c r="J92" i="11"/>
  <c r="J93" i="11"/>
  <c r="J94" i="11"/>
  <c r="J95" i="11"/>
  <c r="J98" i="11"/>
  <c r="J99" i="11"/>
  <c r="J101" i="11"/>
  <c r="J102" i="11"/>
  <c r="J105" i="11"/>
  <c r="J106" i="11"/>
  <c r="J107" i="11"/>
  <c r="J109" i="11"/>
  <c r="J110" i="11"/>
  <c r="J111" i="11"/>
  <c r="J112" i="11"/>
  <c r="J113" i="11"/>
  <c r="J115" i="11"/>
  <c r="J116" i="11"/>
  <c r="J117" i="11"/>
  <c r="J118" i="11"/>
  <c r="J119" i="11"/>
  <c r="J120" i="11"/>
  <c r="J122" i="11"/>
  <c r="J123" i="11"/>
  <c r="J124" i="11"/>
  <c r="J125" i="11"/>
  <c r="J126" i="11"/>
  <c r="J127" i="11"/>
  <c r="J128" i="11"/>
  <c r="J129" i="11"/>
  <c r="J130" i="11"/>
  <c r="J132" i="11"/>
  <c r="J133" i="11"/>
  <c r="J134" i="11"/>
  <c r="J135" i="11"/>
  <c r="J136" i="11"/>
  <c r="J137" i="11"/>
  <c r="J138" i="11"/>
  <c r="J140" i="11"/>
  <c r="J141" i="11"/>
  <c r="J142" i="11"/>
  <c r="J143" i="11"/>
  <c r="J144" i="11"/>
  <c r="J146" i="11"/>
  <c r="J147" i="11"/>
  <c r="J148" i="11"/>
  <c r="J149" i="11"/>
  <c r="J150" i="11"/>
  <c r="J151" i="11"/>
  <c r="K2" i="3" a="1"/>
  <c r="K2" i="3" s="1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31" i="11"/>
  <c r="J38" i="11"/>
  <c r="J97" i="11"/>
  <c r="J82" i="11"/>
  <c r="J8" i="11"/>
  <c r="J74" i="11"/>
  <c r="J43" i="11"/>
  <c r="J145" i="11"/>
  <c r="J11" i="11"/>
  <c r="J139" i="11"/>
  <c r="J103" i="11"/>
  <c r="J104" i="11"/>
  <c r="J20" i="11"/>
  <c r="J7" i="11"/>
  <c r="J100" i="11"/>
  <c r="J108" i="11"/>
  <c r="J121" i="11"/>
  <c r="J45" i="11"/>
  <c r="J18" i="11"/>
  <c r="J85" i="11"/>
  <c r="J114" i="11"/>
  <c r="J96" i="11"/>
  <c r="J39" i="11"/>
  <c r="J76" i="11"/>
  <c r="J10" i="11"/>
  <c r="J35" i="11"/>
  <c r="B10" i="13" l="1"/>
  <c r="B34" i="13"/>
  <c r="B58" i="13"/>
  <c r="B66" i="13"/>
  <c r="B82" i="13"/>
  <c r="B90" i="13"/>
  <c r="B114" i="13"/>
  <c r="B146" i="13"/>
  <c r="L150" i="11"/>
  <c r="L118" i="11"/>
  <c r="L86" i="11"/>
  <c r="L54" i="11"/>
  <c r="L22" i="11"/>
  <c r="B3" i="13"/>
  <c r="B11" i="13"/>
  <c r="B19" i="13"/>
  <c r="B27" i="13"/>
  <c r="B35" i="13"/>
  <c r="B43" i="13"/>
  <c r="B51" i="13"/>
  <c r="B59" i="13"/>
  <c r="B67" i="13"/>
  <c r="B75" i="13"/>
  <c r="B83" i="13"/>
  <c r="B91" i="13"/>
  <c r="B99" i="13"/>
  <c r="B107" i="13"/>
  <c r="B115" i="13"/>
  <c r="B123" i="13"/>
  <c r="B131" i="13"/>
  <c r="B139" i="13"/>
  <c r="B147" i="13"/>
  <c r="B26" i="13"/>
  <c r="B50" i="13"/>
  <c r="B130" i="13"/>
  <c r="L145" i="11"/>
  <c r="L113" i="11"/>
  <c r="L81" i="11"/>
  <c r="L49" i="11"/>
  <c r="L17" i="11"/>
  <c r="B4" i="13"/>
  <c r="B12" i="13"/>
  <c r="B20" i="13"/>
  <c r="B28" i="13"/>
  <c r="B36" i="13"/>
  <c r="B44" i="13"/>
  <c r="B52" i="13"/>
  <c r="B60" i="13"/>
  <c r="B68" i="13"/>
  <c r="B76" i="13"/>
  <c r="B84" i="13"/>
  <c r="B92" i="13"/>
  <c r="B100" i="13"/>
  <c r="B108" i="13"/>
  <c r="B116" i="13"/>
  <c r="B124" i="13"/>
  <c r="B132" i="13"/>
  <c r="B140" i="13"/>
  <c r="B148" i="13"/>
  <c r="B2" i="13"/>
  <c r="B18" i="13"/>
  <c r="B42" i="13"/>
  <c r="B74" i="13"/>
  <c r="B138" i="13"/>
  <c r="B13" i="13"/>
  <c r="B21" i="13"/>
  <c r="B29" i="13"/>
  <c r="B37" i="13"/>
  <c r="B45" i="13"/>
  <c r="B53" i="13"/>
  <c r="B61" i="13"/>
  <c r="B69" i="13"/>
  <c r="B77" i="13"/>
  <c r="B85" i="13"/>
  <c r="B93" i="13"/>
  <c r="B101" i="13"/>
  <c r="B109" i="13"/>
  <c r="B117" i="13"/>
  <c r="B125" i="13"/>
  <c r="B133" i="13"/>
  <c r="B141" i="13"/>
  <c r="B149" i="13"/>
  <c r="L137" i="11"/>
  <c r="L105" i="11"/>
  <c r="L73" i="11"/>
  <c r="L41" i="11"/>
  <c r="L9" i="11"/>
  <c r="B6" i="13"/>
  <c r="B30" i="13"/>
  <c r="B38" i="13"/>
  <c r="B62" i="13"/>
  <c r="B70" i="13"/>
  <c r="B94" i="13"/>
  <c r="B102" i="13"/>
  <c r="B126" i="13"/>
  <c r="B134" i="13"/>
  <c r="B122" i="13"/>
  <c r="B7" i="13"/>
  <c r="B15" i="13"/>
  <c r="B23" i="13"/>
  <c r="B31" i="13"/>
  <c r="B39" i="13"/>
  <c r="B47" i="13"/>
  <c r="B55" i="13"/>
  <c r="B63" i="13"/>
  <c r="B71" i="13"/>
  <c r="B79" i="13"/>
  <c r="B87" i="13"/>
  <c r="B95" i="13"/>
  <c r="B103" i="13"/>
  <c r="B111" i="13"/>
  <c r="B119" i="13"/>
  <c r="B127" i="13"/>
  <c r="B135" i="13"/>
  <c r="B143" i="13"/>
  <c r="B151" i="13"/>
  <c r="B106" i="13"/>
  <c r="L129" i="11"/>
  <c r="B8" i="13"/>
  <c r="B16" i="13"/>
  <c r="B24" i="13"/>
  <c r="B32" i="13"/>
  <c r="B40" i="13"/>
  <c r="B48" i="13"/>
  <c r="B56" i="13"/>
  <c r="B64" i="13"/>
  <c r="B72" i="13"/>
  <c r="B80" i="13"/>
  <c r="B88" i="13"/>
  <c r="B96" i="13"/>
  <c r="B104" i="13"/>
  <c r="B112" i="13"/>
  <c r="B120" i="13"/>
  <c r="B128" i="13"/>
  <c r="B136" i="13"/>
  <c r="B144" i="13"/>
  <c r="B98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AF05BF-D83E-48D6-9A98-B4B4FE18C010}" keepAlive="1" name="Query - Table3" description="Connection to the 'Table3' query in the workbook." type="5" refreshedVersion="7" background="1" saveData="1">
    <dbPr connection="Provider=Microsoft.Mashup.OleDb.1;Data Source=$Workbook$;Location=Table3;Extended Properties=&quot;&quot;" command="SELECT * FROM [Table3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<sst xmlns="http://schemas.openxmlformats.org/spreadsheetml/2006/main" count="3242" uniqueCount="302">
  <si>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</si>
  <si>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</si>
  <si>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</si>
  <si>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</si>
  <si>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</si>
  <si>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</si>
  <si>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</si>
  <si>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</si>
  <si>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</si>
  <si>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</si>
  <si>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</si>
  <si>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</si>
  <si>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</si>
  <si>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</si>
  <si>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</si>
  <si>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</si>
  <si>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</si>
  <si>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</si>
  <si>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</si>
  <si>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</si>
  <si>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</si>
  <si>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</si>
  <si>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</si>
  <si>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</si>
  <si>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</si>
  <si>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</si>
  <si>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</si>
  <si>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</si>
  <si>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</si>
  <si>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</si>
  <si>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</si>
  <si>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</si>
  <si>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</si>
  <si>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</si>
  <si>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</si>
  <si>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</si>
  <si>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</si>
  <si>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</si>
  <si>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</si>
  <si>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</si>
  <si>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</si>
  <si>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</si>
  <si>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</si>
  <si>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</si>
  <si>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</si>
  <si>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</si>
  <si>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</si>
  <si>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</si>
  <si>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</si>
  <si>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</si>
  <si>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</si>
  <si>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</si>
  <si>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</si>
  <si>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</si>
  <si>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</si>
  <si>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</si>
  <si>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</si>
  <si>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</si>
  <si>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</si>
  <si>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</si>
  <si>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</si>
  <si>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</si>
  <si>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</si>
  <si>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</si>
  <si>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</si>
  <si>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</si>
  <si>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</si>
  <si>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</si>
  <si>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</si>
  <si>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</si>
  <si>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</si>
  <si>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</si>
  <si>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</si>
  <si>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</si>
  <si>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</si>
  <si>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</si>
  <si>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</si>
  <si>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</si>
  <si>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</si>
  <si>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</si>
  <si>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</si>
  <si>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</si>
  <si>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</si>
  <si>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</si>
  <si>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</si>
  <si>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</si>
  <si>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</si>
  <si>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</si>
  <si>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</si>
  <si>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</si>
  <si>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</si>
  <si>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</si>
  <si>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</si>
  <si>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</si>
  <si>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</si>
  <si>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</si>
  <si>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</si>
  <si>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</si>
  <si>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</si>
  <si>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</si>
  <si>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</si>
  <si>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</si>
  <si>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</si>
  <si>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</si>
  <si>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</si>
  <si>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</si>
  <si>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</si>
  <si>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</si>
  <si>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</si>
  <si>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</si>
  <si>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</si>
  <si>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</si>
  <si>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</si>
  <si>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</si>
  <si>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</si>
  <si>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</si>
  <si>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</si>
  <si>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</si>
  <si>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</si>
  <si>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</si>
  <si>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</si>
  <si>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</si>
  <si>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</si>
  <si>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</si>
  <si>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</si>
  <si>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</si>
  <si>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</si>
  <si>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</si>
  <si>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</si>
  <si>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</si>
  <si>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</si>
  <si>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</si>
  <si>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</si>
  <si>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</si>
  <si>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</si>
  <si>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</si>
  <si>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</si>
  <si>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</si>
  <si>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</si>
  <si>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</si>
  <si>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</si>
  <si>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</si>
  <si>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</si>
  <si>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</si>
  <si>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</si>
  <si>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</si>
  <si>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</si>
  <si>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</si>
  <si>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</si>
  <si>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</si>
  <si>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</si>
  <si>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</si>
  <si>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</si>
  <si>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</si>
  <si>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</si>
  <si>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</si>
  <si>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</si>
  <si>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</si>
  <si>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</si>
  <si>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</si>
  <si>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</si>
  <si>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</si>
  <si>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</si>
  <si>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</si>
  <si>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</si>
  <si>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</si>
  <si>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</si>
  <si>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</si>
  <si>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</si>
  <si>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</si>
  <si>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</si>
  <si>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</si>
  <si>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</si>
  <si>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</si>
  <si>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</si>
  <si>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</si>
  <si>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</si>
  <si>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</si>
  <si>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</si>
  <si>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</si>
  <si>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</si>
  <si>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</si>
  <si>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</si>
  <si>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</si>
  <si>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</si>
  <si>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</si>
  <si>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</si>
  <si>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</si>
  <si>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</si>
  <si>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</si>
  <si>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</si>
  <si>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</si>
  <si>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</si>
  <si>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</si>
  <si>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</si>
  <si>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</si>
  <si>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</si>
  <si>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</si>
  <si>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</si>
  <si>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</si>
  <si>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</si>
  <si>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</si>
  <si>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</si>
  <si>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</si>
  <si>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</si>
  <si>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</si>
  <si>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</si>
  <si>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</si>
  <si>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</si>
  <si>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</si>
  <si>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</si>
  <si>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</si>
  <si>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</si>
  <si>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</si>
  <si>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</si>
  <si>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</si>
  <si>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</si>
  <si>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</si>
  <si>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</si>
  <si>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</si>
  <si>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</si>
  <si>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</si>
  <si>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</si>
  <si>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</si>
  <si>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</si>
  <si>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</si>
  <si>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</si>
  <si>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</si>
  <si>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</si>
  <si>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</si>
  <si>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</si>
  <si>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</si>
  <si>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</si>
  <si>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</si>
  <si>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</si>
  <si>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</si>
  <si>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</si>
  <si>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</si>
  <si>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</si>
  <si>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</si>
  <si>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</si>
  <si>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</si>
  <si>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</si>
  <si>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</si>
  <si>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</si>
  <si>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</si>
  <si>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</si>
  <si>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</si>
  <si>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</si>
  <si>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</si>
  <si>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</si>
  <si>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</si>
  <si>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</si>
  <si>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</si>
  <si>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</si>
  <si>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</si>
  <si>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</si>
  <si>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</si>
  <si>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</si>
  <si>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</si>
  <si>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</si>
  <si>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</si>
  <si>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</si>
  <si>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</si>
  <si>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</si>
  <si>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</si>
  <si>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</si>
  <si>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</si>
  <si>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</si>
  <si>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</si>
  <si>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</si>
  <si>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</si>
  <si>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</si>
  <si>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</si>
  <si>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</si>
  <si>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</si>
  <si>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</si>
  <si>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</si>
  <si>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</si>
  <si>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</si>
  <si>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</si>
  <si>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NAME</t>
  </si>
  <si>
    <t>DEPARTMENT</t>
  </si>
  <si>
    <t>NAME2</t>
  </si>
  <si>
    <t>COUNTRY</t>
  </si>
  <si>
    <t>RATING</t>
  </si>
  <si>
    <t>GENDER</t>
  </si>
  <si>
    <t>Others</t>
  </si>
  <si>
    <t>gender</t>
  </si>
  <si>
    <t>EMPLOYEE ID</t>
  </si>
  <si>
    <t>EMPLOYEE DETAILS-DROP DOWN LIST</t>
  </si>
  <si>
    <t>Column1</t>
  </si>
  <si>
    <t>NAME 3</t>
  </si>
  <si>
    <t>ROUNDUP OF2.872=3</t>
  </si>
  <si>
    <t xml:space="preserve">NAME </t>
  </si>
  <si>
    <t xml:space="preserve"> India</t>
  </si>
  <si>
    <t>MEAN</t>
  </si>
  <si>
    <t>date of joining</t>
  </si>
  <si>
    <t>Joining Date</t>
  </si>
  <si>
    <t>Mean(Salary)</t>
  </si>
  <si>
    <t>Mean(ratings)</t>
  </si>
  <si>
    <t>3(Rounded up)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</si>
</sst>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7" formatCode="mm/dd/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4"/>
      <name val="Algerian"/>
      <family val="5"/>
    </font>
    <font>
      <sz val="11"/>
      <color theme="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2" xfId="0" applyFont="1" applyBorder="1" applyAlignment="1">
      <alignment horizontal="center" vertical="top"/>
    </xf>
    <xf numFmtId="164" fontId="0" fillId="0" borderId="0" xfId="0" applyNumberFormat="1"/>
    <xf numFmtId="0" fontId="1" fillId="2" borderId="2" xfId="0" applyFont="1" applyFill="1" applyBorder="1" applyAlignment="1">
      <alignment horizontal="center" vertical="top"/>
    </xf>
    <xf numFmtId="0" fontId="1" fillId="2" borderId="0" xfId="0" applyFont="1" applyFill="1"/>
    <xf numFmtId="0" fontId="2" fillId="0" borderId="0" xfId="0" applyFont="1"/>
    <xf numFmtId="0" fontId="0" fillId="3" borderId="0" xfId="0" applyFill="1"/>
    <xf numFmtId="0" fontId="1" fillId="4" borderId="2" xfId="0" applyFont="1" applyFill="1" applyBorder="1" applyAlignment="1">
      <alignment horizontal="center" vertical="top"/>
    </xf>
    <xf numFmtId="0" fontId="0" fillId="0" borderId="4" xfId="0" applyBorder="1"/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5" xfId="0" applyBorder="1"/>
    <xf numFmtId="0" fontId="3" fillId="0" borderId="1" xfId="0" applyFont="1" applyBorder="1"/>
    <xf numFmtId="0" fontId="0" fillId="5" borderId="1" xfId="0" applyFill="1" applyBorder="1"/>
    <xf numFmtId="167" fontId="1" fillId="4" borderId="2" xfId="0" applyNumberFormat="1" applyFont="1" applyFill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19">
    <dxf>
      <numFmt numFmtId="167" formatCode="mm/dd/yy;@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1142C5-5093-4EBF-8706-31FCAB1ACEAE}" name="Table13" displayName="Table13" ref="A1:I151" totalsRowShown="0" headerRowDxfId="18" headerRowBorderDxfId="17" tableBorderDxfId="16">
  <autoFilter ref="A1:I151" xr:uid="{78F74047-F6F7-4D96-B691-959282CA833F}"/>
  <tableColumns count="9">
    <tableColumn id="1" xr3:uid="{E6E1C9D4-C4A8-41D0-9E40-C1DC81FF33C8}" name="Employee ID"/>
    <tableColumn id="2" xr3:uid="{D7222C6A-76E0-44C2-A961-1F386A80E25F}" name="Name"/>
    <tableColumn id="3" xr3:uid="{A3FDA9F9-0D7C-4DB2-A08A-A314B7DA5EC9}" name="Department"/>
    <tableColumn id="4" xr3:uid="{B6D53771-AD89-42AE-BCDC-AA4AA103C9DD}" name="Country"/>
    <tableColumn id="5" xr3:uid="{A4CB7D97-CBE1-42C0-9696-1BBD689A18C6}" name="Salary"/>
    <tableColumn id="6" xr3:uid="{79ACCEAE-2698-4A62-98F1-DE9B3B072CEE}" name="Date of Joining" dataDxfId="15"/>
    <tableColumn id="7" xr3:uid="{48E498CE-BE36-4B6D-94A1-6190C4593913}" name="Performance Rating"/>
    <tableColumn id="8" xr3:uid="{AF9C46EE-A37E-4CD6-A461-061D158A180B}" name="Gender"/>
    <tableColumn id="9" xr3:uid="{4F8AF176-C75D-48F6-87FF-0C3C0B9D3953}" name="Email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F74047-F6F7-4D96-B691-959282CA833F}" name="Table1" displayName="Table1" ref="A1:I151" totalsRowShown="0" headerRowDxfId="14" headerRowBorderDxfId="13" tableBorderDxfId="12">
  <autoFilter ref="A1:I151" xr:uid="{78F74047-F6F7-4D96-B691-959282CA833F}"/>
  <tableColumns count="9">
    <tableColumn id="1" xr3:uid="{A5FB579F-4167-42B1-BB76-D52FEED1B6AD}" name="Employee ID"/>
    <tableColumn id="2" xr3:uid="{ED3D956C-948C-4385-9555-32B23BA81717}" name="Name"/>
    <tableColumn id="3" xr3:uid="{4B0E7A17-F078-4678-97A7-9A15473C8026}" name="Department"/>
    <tableColumn id="4" xr3:uid="{7EFA8869-DFA4-4EA4-BC3F-E1A30322AC78}" name="Country"/>
    <tableColumn id="5" xr3:uid="{0540042A-D671-4A44-8834-3B6096F71EE4}" name="Salary"/>
    <tableColumn id="6" xr3:uid="{34178EB5-345A-4D18-AD28-54BFC1DE3524}" name="Date of Joining" dataDxfId="11"/>
    <tableColumn id="7" xr3:uid="{1F107206-FA4E-4407-BAD0-16E6FBB0EFBB}" name="Performance Rating"/>
    <tableColumn id="8" xr3:uid="{8AC40ADE-04D4-4E9A-88EE-44986A0765A3}" name="Gender"/>
    <tableColumn id="9" xr3:uid="{EB0F7C94-6801-455D-ADC6-EEF62F03E9B6}" name="Email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751AE5-A257-482A-B830-06BB9324D356}" name="Table15" displayName="Table15" ref="A1:M151" totalsRowShown="0" headerRowDxfId="10" headerRowBorderDxfId="9" tableBorderDxfId="8">
  <autoFilter ref="A1:M151" xr:uid="{AE751AE5-A257-482A-B830-06BB9324D356}">
    <filterColumn colId="5">
      <filters>
        <dateGroupItem year="2017" dateTimeGrouping="year"/>
      </filters>
    </filterColumn>
  </autoFilter>
  <tableColumns count="13">
    <tableColumn id="1" xr3:uid="{BAE7E072-EA1F-456E-BDD6-75FA790AF8C8}" name="Employee ID"/>
    <tableColumn id="2" xr3:uid="{0782D958-416A-4061-8F57-1EE4B06E46B7}" name="Name"/>
    <tableColumn id="3" xr3:uid="{D95D690F-DA11-46CE-9BD6-696EAD066F96}" name="Department"/>
    <tableColumn id="4" xr3:uid="{A519F4D4-38D6-4E3B-B30F-DD532A63F8B4}" name="Country"/>
    <tableColumn id="5" xr3:uid="{61F505B8-843F-44BB-A232-7EDFE4D78BFC}" name="Salary"/>
    <tableColumn id="6" xr3:uid="{62BD7B5A-BA8C-48FE-9F22-6D514C4A2071}" name="Date of Joining" dataDxfId="7"/>
    <tableColumn id="7" xr3:uid="{2834DCD4-8436-4862-B5D7-AD81DDB597F6}" name="Performance Rating"/>
    <tableColumn id="8" xr3:uid="{A3F5A97E-2F38-4092-B634-9D54A05093A0}" name="Gender"/>
    <tableColumn id="9" xr3:uid="{3CFC1A54-181B-495C-9DB6-40DDDE45C721}" name="Email"/>
    <tableColumn id="12" xr3:uid="{1A465406-B033-4309-A8BD-68A3BCC24DE0}" name="RATING" dataDxfId="6">
      <calculatedColumnFormula>IF(ISBLANK(G2),AVERAGE(Table15[Performance Rating]),G2)</calculatedColumnFormula>
    </tableColumn>
    <tableColumn id="10" xr3:uid="{9D69FA4B-F818-454E-BB65-271A3E165392}" name="NAME2" dataDxfId="5">
      <calculatedColumnFormula>IF(ISBLANK(B2),"UNKNOWN",B2)</calculatedColumnFormula>
    </tableColumn>
    <tableColumn id="11" xr3:uid="{3AAE7396-4C66-4725-8E0E-CC364BD9C715}" name="NAME 3" dataDxfId="4">
      <calculatedColumnFormula>PROPER(Table15[[#This Row],[NAME2]])</calculatedColumnFormula>
    </tableColumn>
    <tableColumn id="13" xr3:uid="{6CEFA4C2-5D50-4447-9762-FA6F2A50D372}" name="Column1" dataDxfId="3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A3307E-2262-4B6A-948E-58C079F72809}" name="Table3" displayName="Table3" ref="A1:I151" totalsRowShown="0" headerRowDxfId="2" headerRowBorderDxfId="1">
  <autoFilter ref="A1:I151" xr:uid="{06A3307E-2262-4B6A-948E-58C079F72809}"/>
  <tableColumns count="9">
    <tableColumn id="1" xr3:uid="{8B24B6DF-89F5-42AC-957F-381B0A1F4B95}" name="Employee ID"/>
    <tableColumn id="2" xr3:uid="{2F9BAD41-FDBB-47D9-BC79-D7838561DE16}" name="NAME ">
      <calculatedColumnFormula>PROPER(Table15[[#This Row],[NAME2]])</calculatedColumnFormula>
    </tableColumn>
    <tableColumn id="3" xr3:uid="{3199EEB6-B812-426B-95B2-9278E08682A5}" name="Department"/>
    <tableColumn id="4" xr3:uid="{4F90DB0E-E42B-45F4-B142-6AAF497A2FAD}" name="Country"/>
    <tableColumn id="5" xr3:uid="{BE85C67A-F02F-4BCC-8B56-43F52F552611}" name="Salary"/>
    <tableColumn id="6" xr3:uid="{39EB2C89-9B24-408A-8E16-727D622229D1}" name="Joining Date" dataDxfId="0"/>
    <tableColumn id="7" xr3:uid="{61A2588F-2A35-4E70-8169-B335ED1FC34F}" name="Performance Rating"/>
    <tableColumn id="8" xr3:uid="{19442507-AC6E-4CD9-BD84-B2B994F73F94}" name="Gender"/>
    <tableColumn id="9" xr3:uid="{69FEA0FE-E9CD-4EDF-BB6B-B70F8CBEC566}" name="Email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EF12D-6FD0-4108-B9B9-F7C207CDBCC4}">
  <dimension ref="A1:M151"/>
  <sheetViews>
    <sheetView workbookViewId="0">
      <selection activeCell="J1" sqref="J1"/>
    </sheetView>
  </sheetViews>
  <sheetFormatPr defaultRowHeight="15" x14ac:dyDescent="0.25"/>
  <cols>
    <col min="1" max="1" width="14.28515625" customWidth="1"/>
    <col min="2" max="2" width="12.140625" bestFit="1" customWidth="1"/>
    <col min="3" max="3" width="13.85546875" customWidth="1"/>
    <col min="4" max="4" width="11.7109375" customWidth="1"/>
    <col min="5" max="5" width="8.42578125" customWidth="1"/>
    <col min="6" max="6" width="18.28515625" bestFit="1" customWidth="1"/>
    <col min="7" max="7" width="20.5703125" customWidth="1"/>
    <col min="8" max="8" width="9.85546875" customWidth="1"/>
    <col min="9" max="9" width="22.140625" bestFit="1" customWidth="1"/>
    <col min="10" max="10" width="12.85546875" customWidth="1"/>
    <col min="11" max="11" width="14.140625" customWidth="1"/>
    <col min="12" max="12" width="12.71093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283</v>
      </c>
      <c r="K1" s="4" t="s">
        <v>282</v>
      </c>
    </row>
    <row r="2" spans="1:13" x14ac:dyDescent="0.25">
      <c r="A2" t="s">
        <v>9</v>
      </c>
      <c r="C2" t="s">
        <v>10</v>
      </c>
      <c r="D2" t="s">
        <v>11</v>
      </c>
      <c r="E2" t="s">
        <v>12</v>
      </c>
      <c r="G2">
        <v>2</v>
      </c>
      <c r="H2" t="s">
        <v>13</v>
      </c>
      <c r="I2" t="s">
        <v>14</v>
      </c>
      <c r="J2" t="str">
        <f>PROPER(Table1[[#This Row],[Name]])</f>
        <v/>
      </c>
      <c r="K2" t="str" cm="1">
        <f t="array" ref="K2:K151">UPPER(Table13[Department])</f>
        <v>FINANCE</v>
      </c>
    </row>
    <row r="3" spans="1:13" x14ac:dyDescent="0.25">
      <c r="A3" t="s">
        <v>15</v>
      </c>
      <c r="B3" t="s">
        <v>16</v>
      </c>
      <c r="C3" t="s">
        <v>17</v>
      </c>
      <c r="D3" t="s">
        <v>18</v>
      </c>
      <c r="E3">
        <v>54255</v>
      </c>
      <c r="F3" s="2">
        <v>42015</v>
      </c>
      <c r="G3">
        <v>1</v>
      </c>
      <c r="H3" t="s">
        <v>19</v>
      </c>
      <c r="I3" t="s">
        <v>20</v>
      </c>
      <c r="J3" t="str">
        <f>PROPER(Table1[[#This Row],[Name]])</f>
        <v>Eve Adams</v>
      </c>
      <c r="K3" t="str">
        <v>HR</v>
      </c>
      <c r="L3" t="s">
        <v>299</v>
      </c>
      <c r="M3">
        <f>AVERAGE(Table13[[#All],[Salary]])</f>
        <v>66280.929577464791</v>
      </c>
    </row>
    <row r="4" spans="1:13" x14ac:dyDescent="0.25">
      <c r="A4" t="s">
        <v>21</v>
      </c>
      <c r="B4" t="s">
        <v>22</v>
      </c>
      <c r="C4" t="s">
        <v>10</v>
      </c>
      <c r="D4" t="s">
        <v>18</v>
      </c>
      <c r="E4">
        <v>63184</v>
      </c>
      <c r="F4" s="2">
        <v>42022</v>
      </c>
      <c r="G4">
        <v>2</v>
      </c>
      <c r="I4" t="s">
        <v>23</v>
      </c>
      <c r="J4" t="str">
        <f>PROPER(Table1[[#This Row],[Name]])</f>
        <v>Alice Brown</v>
      </c>
      <c r="K4" t="str">
        <v>FINANCE</v>
      </c>
    </row>
    <row r="5" spans="1:13" x14ac:dyDescent="0.25">
      <c r="A5" t="s">
        <v>24</v>
      </c>
      <c r="B5" t="s">
        <v>25</v>
      </c>
      <c r="C5" t="s">
        <v>26</v>
      </c>
      <c r="D5" t="s">
        <v>27</v>
      </c>
      <c r="E5">
        <v>94406</v>
      </c>
      <c r="F5" s="2">
        <v>42029</v>
      </c>
      <c r="G5">
        <v>1</v>
      </c>
      <c r="H5" t="s">
        <v>28</v>
      </c>
      <c r="I5" t="s">
        <v>29</v>
      </c>
      <c r="J5" t="str">
        <f>PROPER(Table1[[#This Row],[Name]])</f>
        <v>John Doe</v>
      </c>
      <c r="K5" t="str">
        <v>SALES</v>
      </c>
      <c r="L5" t="s">
        <v>300</v>
      </c>
      <c r="M5">
        <f>AVERAGE(G:G)</f>
        <v>2.8719999999999999</v>
      </c>
    </row>
    <row r="6" spans="1:13" x14ac:dyDescent="0.25">
      <c r="A6" t="s">
        <v>30</v>
      </c>
      <c r="B6" t="s">
        <v>31</v>
      </c>
      <c r="C6" t="s">
        <v>26</v>
      </c>
      <c r="D6" t="s">
        <v>18</v>
      </c>
      <c r="E6">
        <v>64120</v>
      </c>
      <c r="F6" s="2">
        <v>42036</v>
      </c>
      <c r="G6">
        <v>1</v>
      </c>
      <c r="H6" t="s">
        <v>28</v>
      </c>
      <c r="I6" t="s">
        <v>32</v>
      </c>
      <c r="J6" t="str">
        <f>PROPER(Table1[[#This Row],[Name]])</f>
        <v>Jane Smith</v>
      </c>
      <c r="K6" t="str">
        <v>SALES</v>
      </c>
      <c r="M6" t="s">
        <v>301</v>
      </c>
    </row>
    <row r="7" spans="1:13" x14ac:dyDescent="0.25">
      <c r="A7" t="s">
        <v>33</v>
      </c>
      <c r="B7" t="s">
        <v>22</v>
      </c>
      <c r="C7" t="s">
        <v>34</v>
      </c>
      <c r="D7" t="s">
        <v>35</v>
      </c>
      <c r="E7">
        <v>78421</v>
      </c>
      <c r="F7" s="2">
        <v>42043</v>
      </c>
      <c r="G7">
        <v>2</v>
      </c>
      <c r="H7" t="s">
        <v>36</v>
      </c>
      <c r="I7" t="s">
        <v>37</v>
      </c>
      <c r="J7" t="str">
        <f>PROPER(Table1[[#This Row],[Name]])</f>
        <v>Alice Brown</v>
      </c>
      <c r="K7" t="str">
        <v>IT</v>
      </c>
    </row>
    <row r="8" spans="1:13" x14ac:dyDescent="0.25">
      <c r="A8" t="s">
        <v>38</v>
      </c>
      <c r="B8" t="s">
        <v>39</v>
      </c>
      <c r="C8" t="s">
        <v>26</v>
      </c>
      <c r="E8">
        <v>67721</v>
      </c>
      <c r="F8" s="2">
        <v>42050</v>
      </c>
      <c r="H8" t="s">
        <v>28</v>
      </c>
      <c r="I8" t="s">
        <v>29</v>
      </c>
      <c r="J8" t="str">
        <f>PROPER(Table1[[#This Row],[Name]])</f>
        <v>Sam Wilson</v>
      </c>
      <c r="K8" t="str">
        <v>SALES</v>
      </c>
    </row>
    <row r="9" spans="1:13" x14ac:dyDescent="0.25">
      <c r="A9" t="s">
        <v>40</v>
      </c>
      <c r="B9" t="s">
        <v>41</v>
      </c>
      <c r="C9" t="s">
        <v>42</v>
      </c>
      <c r="E9">
        <v>35364</v>
      </c>
      <c r="F9" s="2">
        <v>42057</v>
      </c>
      <c r="G9">
        <v>2</v>
      </c>
      <c r="H9" t="s">
        <v>19</v>
      </c>
      <c r="I9" t="s">
        <v>43</v>
      </c>
      <c r="J9" t="str">
        <f>PROPER(Table1[[#This Row],[Name]])</f>
        <v>Chris Lee</v>
      </c>
      <c r="K9" t="str">
        <v>MARKETING</v>
      </c>
    </row>
    <row r="10" spans="1:13" x14ac:dyDescent="0.25">
      <c r="A10" t="s">
        <v>44</v>
      </c>
      <c r="B10" t="s">
        <v>22</v>
      </c>
      <c r="C10" t="s">
        <v>34</v>
      </c>
      <c r="D10" t="s">
        <v>18</v>
      </c>
      <c r="E10">
        <v>97881</v>
      </c>
      <c r="F10" s="2">
        <v>42064</v>
      </c>
      <c r="H10" t="s">
        <v>36</v>
      </c>
      <c r="I10" t="s">
        <v>45</v>
      </c>
      <c r="J10" t="str">
        <f>PROPER(Table1[[#This Row],[Name]])</f>
        <v>Alice Brown</v>
      </c>
      <c r="K10" t="str">
        <v>IT</v>
      </c>
    </row>
    <row r="11" spans="1:13" x14ac:dyDescent="0.25">
      <c r="A11" t="s">
        <v>46</v>
      </c>
      <c r="B11" t="s">
        <v>41</v>
      </c>
      <c r="C11" t="s">
        <v>17</v>
      </c>
      <c r="D11" t="s">
        <v>47</v>
      </c>
      <c r="E11">
        <v>91846</v>
      </c>
      <c r="F11" s="2">
        <v>42071</v>
      </c>
      <c r="H11" t="s">
        <v>28</v>
      </c>
      <c r="I11" t="s">
        <v>48</v>
      </c>
      <c r="J11" t="str">
        <f>PROPER(Table1[[#This Row],[Name]])</f>
        <v>Chris Lee</v>
      </c>
      <c r="K11" t="str">
        <v>HR</v>
      </c>
    </row>
    <row r="12" spans="1:13" x14ac:dyDescent="0.25">
      <c r="A12" t="s">
        <v>49</v>
      </c>
      <c r="B12" t="s">
        <v>39</v>
      </c>
      <c r="C12" t="s">
        <v>10</v>
      </c>
      <c r="D12" t="s">
        <v>47</v>
      </c>
      <c r="E12">
        <v>64247</v>
      </c>
      <c r="F12" s="2">
        <v>42078</v>
      </c>
      <c r="G12">
        <v>1</v>
      </c>
      <c r="H12" t="s">
        <v>36</v>
      </c>
      <c r="I12" t="s">
        <v>50</v>
      </c>
      <c r="J12" t="str">
        <f>PROPER(Table1[[#This Row],[Name]])</f>
        <v>Sam Wilson</v>
      </c>
      <c r="K12" t="str">
        <v>FINANCE</v>
      </c>
    </row>
    <row r="13" spans="1:13" x14ac:dyDescent="0.25">
      <c r="A13" t="s">
        <v>51</v>
      </c>
      <c r="B13" t="s">
        <v>39</v>
      </c>
      <c r="C13" t="s">
        <v>34</v>
      </c>
      <c r="D13" t="s">
        <v>27</v>
      </c>
      <c r="E13">
        <v>91180</v>
      </c>
      <c r="F13" s="2">
        <v>42085</v>
      </c>
      <c r="G13">
        <v>5</v>
      </c>
      <c r="H13" t="s">
        <v>28</v>
      </c>
      <c r="I13" t="s">
        <v>52</v>
      </c>
      <c r="J13" t="str">
        <f>PROPER(Table1[[#This Row],[Name]])</f>
        <v>Sam Wilson</v>
      </c>
      <c r="K13" t="str">
        <v>IT</v>
      </c>
    </row>
    <row r="14" spans="1:13" x14ac:dyDescent="0.25">
      <c r="A14" t="s">
        <v>53</v>
      </c>
      <c r="B14" t="s">
        <v>54</v>
      </c>
      <c r="C14" t="s">
        <v>26</v>
      </c>
      <c r="E14">
        <v>96418</v>
      </c>
      <c r="F14" s="2">
        <v>42092</v>
      </c>
      <c r="G14">
        <v>5</v>
      </c>
      <c r="H14" t="s">
        <v>28</v>
      </c>
      <c r="I14" t="s">
        <v>20</v>
      </c>
      <c r="J14" t="str">
        <f>PROPER(Table1[[#This Row],[Name]])</f>
        <v>Bob Johnson</v>
      </c>
      <c r="K14" t="str">
        <v>SALES</v>
      </c>
    </row>
    <row r="15" spans="1:13" x14ac:dyDescent="0.25">
      <c r="A15" t="s">
        <v>55</v>
      </c>
      <c r="B15" t="s">
        <v>39</v>
      </c>
      <c r="D15" t="s">
        <v>35</v>
      </c>
      <c r="E15">
        <v>62158</v>
      </c>
      <c r="F15" s="2">
        <v>42099</v>
      </c>
      <c r="G15">
        <v>4</v>
      </c>
      <c r="I15" t="s">
        <v>56</v>
      </c>
      <c r="J15" t="str">
        <f>PROPER(Table1[[#This Row],[Name]])</f>
        <v>Sam Wilson</v>
      </c>
      <c r="K15" t="str">
        <v/>
      </c>
    </row>
    <row r="16" spans="1:13" x14ac:dyDescent="0.25">
      <c r="A16" t="s">
        <v>57</v>
      </c>
      <c r="B16" t="s">
        <v>31</v>
      </c>
      <c r="C16" t="s">
        <v>17</v>
      </c>
      <c r="E16">
        <v>59894</v>
      </c>
      <c r="F16" s="2">
        <v>42106</v>
      </c>
      <c r="G16">
        <v>2</v>
      </c>
      <c r="H16" t="s">
        <v>28</v>
      </c>
      <c r="I16" t="s">
        <v>58</v>
      </c>
      <c r="J16" t="str">
        <f>PROPER(Table1[[#This Row],[Name]])</f>
        <v>Jane Smith</v>
      </c>
      <c r="K16" t="str">
        <v>HR</v>
      </c>
    </row>
    <row r="17" spans="1:11" x14ac:dyDescent="0.25">
      <c r="A17" t="s">
        <v>59</v>
      </c>
      <c r="C17" t="s">
        <v>34</v>
      </c>
      <c r="D17" t="s">
        <v>35</v>
      </c>
      <c r="E17">
        <v>92443</v>
      </c>
      <c r="F17" s="2">
        <v>42113</v>
      </c>
      <c r="G17">
        <v>3</v>
      </c>
      <c r="H17" t="s">
        <v>19</v>
      </c>
      <c r="I17" t="s">
        <v>60</v>
      </c>
      <c r="J17" t="str">
        <f>PROPER(Table1[[#This Row],[Name]])</f>
        <v/>
      </c>
      <c r="K17" t="str">
        <v>IT</v>
      </c>
    </row>
    <row r="18" spans="1:11" x14ac:dyDescent="0.25">
      <c r="A18" t="s">
        <v>61</v>
      </c>
      <c r="B18" t="s">
        <v>54</v>
      </c>
      <c r="D18" t="s">
        <v>18</v>
      </c>
      <c r="E18">
        <v>90271</v>
      </c>
      <c r="F18" s="2">
        <v>42120</v>
      </c>
      <c r="I18" t="s">
        <v>62</v>
      </c>
      <c r="J18" t="str">
        <f>PROPER(Table1[[#This Row],[Name]])</f>
        <v>Bob Johnson</v>
      </c>
      <c r="K18" t="str">
        <v/>
      </c>
    </row>
    <row r="19" spans="1:11" x14ac:dyDescent="0.25">
      <c r="A19" t="s">
        <v>63</v>
      </c>
      <c r="B19" t="s">
        <v>31</v>
      </c>
      <c r="C19" t="s">
        <v>10</v>
      </c>
      <c r="D19" t="s">
        <v>64</v>
      </c>
      <c r="E19">
        <v>41341</v>
      </c>
      <c r="F19" s="2">
        <v>42127</v>
      </c>
      <c r="G19">
        <v>1</v>
      </c>
      <c r="H19" t="s">
        <v>19</v>
      </c>
      <c r="I19" t="s">
        <v>65</v>
      </c>
      <c r="J19" t="str">
        <f>PROPER(Table1[[#This Row],[Name]])</f>
        <v>Jane Smith</v>
      </c>
      <c r="K19" t="str">
        <v>FINANCE</v>
      </c>
    </row>
    <row r="20" spans="1:11" x14ac:dyDescent="0.25">
      <c r="A20" t="s">
        <v>66</v>
      </c>
      <c r="B20" t="s">
        <v>22</v>
      </c>
      <c r="C20" t="s">
        <v>10</v>
      </c>
      <c r="D20" t="s">
        <v>47</v>
      </c>
      <c r="E20">
        <v>73602</v>
      </c>
      <c r="F20" s="2">
        <v>42134</v>
      </c>
      <c r="I20" t="s">
        <v>67</v>
      </c>
      <c r="J20" t="str">
        <f>PROPER(Table1[[#This Row],[Name]])</f>
        <v>Alice Brown</v>
      </c>
      <c r="K20" t="str">
        <v>FINANCE</v>
      </c>
    </row>
    <row r="21" spans="1:11" x14ac:dyDescent="0.25">
      <c r="A21" t="s">
        <v>68</v>
      </c>
      <c r="B21" t="s">
        <v>16</v>
      </c>
      <c r="D21" t="s">
        <v>35</v>
      </c>
      <c r="E21">
        <v>67531</v>
      </c>
      <c r="F21" s="2">
        <v>42141</v>
      </c>
      <c r="G21">
        <v>5</v>
      </c>
      <c r="H21" t="s">
        <v>36</v>
      </c>
      <c r="I21" t="s">
        <v>69</v>
      </c>
      <c r="J21" t="str">
        <f>PROPER(Table1[[#This Row],[Name]])</f>
        <v>Eve Adams</v>
      </c>
      <c r="K21" t="str">
        <v/>
      </c>
    </row>
    <row r="22" spans="1:11" x14ac:dyDescent="0.25">
      <c r="A22" t="s">
        <v>70</v>
      </c>
      <c r="B22" t="s">
        <v>31</v>
      </c>
      <c r="C22" t="s">
        <v>17</v>
      </c>
      <c r="D22" t="s">
        <v>27</v>
      </c>
      <c r="E22" t="s">
        <v>12</v>
      </c>
      <c r="F22" s="2">
        <v>42148</v>
      </c>
      <c r="G22">
        <v>2</v>
      </c>
      <c r="H22" t="s">
        <v>19</v>
      </c>
      <c r="I22" t="s">
        <v>71</v>
      </c>
      <c r="J22" t="str">
        <f>PROPER(Table1[[#This Row],[Name]])</f>
        <v>Jane Smith</v>
      </c>
      <c r="K22" t="str">
        <v>HR</v>
      </c>
    </row>
    <row r="23" spans="1:11" x14ac:dyDescent="0.25">
      <c r="A23" t="s">
        <v>72</v>
      </c>
      <c r="B23" t="s">
        <v>31</v>
      </c>
      <c r="C23" t="s">
        <v>17</v>
      </c>
      <c r="E23">
        <v>98922</v>
      </c>
      <c r="F23" s="2">
        <v>42155</v>
      </c>
      <c r="G23">
        <v>4</v>
      </c>
      <c r="I23" t="s">
        <v>73</v>
      </c>
      <c r="J23" t="str">
        <f>PROPER(Table1[[#This Row],[Name]])</f>
        <v>Jane Smith</v>
      </c>
      <c r="K23" t="str">
        <v>HR</v>
      </c>
    </row>
    <row r="24" spans="1:11" x14ac:dyDescent="0.25">
      <c r="A24" t="s">
        <v>74</v>
      </c>
      <c r="B24" t="s">
        <v>16</v>
      </c>
      <c r="C24" t="s">
        <v>10</v>
      </c>
      <c r="D24" t="s">
        <v>35</v>
      </c>
      <c r="E24">
        <v>38333</v>
      </c>
      <c r="F24" s="2">
        <v>42162</v>
      </c>
      <c r="G24">
        <v>5</v>
      </c>
      <c r="I24" t="s">
        <v>75</v>
      </c>
      <c r="J24" t="str">
        <f>PROPER(Table1[[#This Row],[Name]])</f>
        <v>Eve Adams</v>
      </c>
      <c r="K24" t="str">
        <v>FINANCE</v>
      </c>
    </row>
    <row r="25" spans="1:11" x14ac:dyDescent="0.25">
      <c r="A25" t="s">
        <v>76</v>
      </c>
      <c r="B25" t="s">
        <v>22</v>
      </c>
      <c r="C25" t="s">
        <v>42</v>
      </c>
      <c r="D25" t="s">
        <v>47</v>
      </c>
      <c r="E25">
        <v>36515</v>
      </c>
      <c r="F25" s="2">
        <v>42169</v>
      </c>
      <c r="G25">
        <v>3</v>
      </c>
      <c r="H25" t="s">
        <v>28</v>
      </c>
      <c r="I25" t="s">
        <v>77</v>
      </c>
      <c r="J25" t="str">
        <f>PROPER(Table1[[#This Row],[Name]])</f>
        <v>Alice Brown</v>
      </c>
      <c r="K25" t="str">
        <v>MARKETING</v>
      </c>
    </row>
    <row r="26" spans="1:11" x14ac:dyDescent="0.25">
      <c r="A26" t="s">
        <v>78</v>
      </c>
      <c r="B26" t="s">
        <v>39</v>
      </c>
      <c r="C26" t="s">
        <v>10</v>
      </c>
      <c r="E26">
        <v>91005</v>
      </c>
      <c r="F26" s="2">
        <v>42176</v>
      </c>
      <c r="G26">
        <v>1</v>
      </c>
      <c r="H26" t="s">
        <v>19</v>
      </c>
      <c r="I26" t="s">
        <v>79</v>
      </c>
      <c r="J26" t="str">
        <f>PROPER(Table1[[#This Row],[Name]])</f>
        <v>Sam Wilson</v>
      </c>
      <c r="K26" t="str">
        <v>FINANCE</v>
      </c>
    </row>
    <row r="27" spans="1:11" x14ac:dyDescent="0.25">
      <c r="A27" t="s">
        <v>80</v>
      </c>
      <c r="B27" t="s">
        <v>41</v>
      </c>
      <c r="D27" t="s">
        <v>11</v>
      </c>
      <c r="E27">
        <v>52272</v>
      </c>
      <c r="F27" s="2">
        <v>42183</v>
      </c>
      <c r="G27">
        <v>3</v>
      </c>
      <c r="I27" t="s">
        <v>81</v>
      </c>
      <c r="J27" t="str">
        <f>PROPER(Table1[[#This Row],[Name]])</f>
        <v>Chris Lee</v>
      </c>
      <c r="K27" t="str">
        <v/>
      </c>
    </row>
    <row r="28" spans="1:11" x14ac:dyDescent="0.25">
      <c r="A28" t="s">
        <v>82</v>
      </c>
      <c r="B28" t="s">
        <v>16</v>
      </c>
      <c r="C28" t="s">
        <v>26</v>
      </c>
      <c r="D28" t="s">
        <v>18</v>
      </c>
      <c r="E28">
        <v>76518</v>
      </c>
      <c r="F28" s="2">
        <v>42190</v>
      </c>
      <c r="G28">
        <v>2</v>
      </c>
      <c r="H28" t="s">
        <v>36</v>
      </c>
      <c r="I28" t="s">
        <v>83</v>
      </c>
      <c r="J28" t="str">
        <f>PROPER(Table1[[#This Row],[Name]])</f>
        <v>Eve Adams</v>
      </c>
      <c r="K28" t="str">
        <v>SALES</v>
      </c>
    </row>
    <row r="29" spans="1:11" x14ac:dyDescent="0.25">
      <c r="A29" t="s">
        <v>84</v>
      </c>
      <c r="B29" t="s">
        <v>22</v>
      </c>
      <c r="C29" t="s">
        <v>34</v>
      </c>
      <c r="D29" t="s">
        <v>47</v>
      </c>
      <c r="E29">
        <v>41448</v>
      </c>
      <c r="F29" s="2">
        <v>42197</v>
      </c>
      <c r="G29">
        <v>3</v>
      </c>
      <c r="H29" t="s">
        <v>19</v>
      </c>
      <c r="I29" t="s">
        <v>85</v>
      </c>
      <c r="J29" t="str">
        <f>PROPER(Table1[[#This Row],[Name]])</f>
        <v>Alice Brown</v>
      </c>
      <c r="K29" t="str">
        <v>IT</v>
      </c>
    </row>
    <row r="30" spans="1:11" x14ac:dyDescent="0.25">
      <c r="A30" t="s">
        <v>86</v>
      </c>
      <c r="B30" t="s">
        <v>25</v>
      </c>
      <c r="C30" t="s">
        <v>17</v>
      </c>
      <c r="D30" t="s">
        <v>47</v>
      </c>
      <c r="E30">
        <v>49282</v>
      </c>
      <c r="F30" s="2">
        <v>42204</v>
      </c>
      <c r="G30">
        <v>2</v>
      </c>
      <c r="H30" t="s">
        <v>36</v>
      </c>
      <c r="I30" t="s">
        <v>87</v>
      </c>
      <c r="J30" t="str">
        <f>PROPER(Table1[[#This Row],[Name]])</f>
        <v>John Doe</v>
      </c>
      <c r="K30" t="str">
        <v>HR</v>
      </c>
    </row>
    <row r="31" spans="1:11" x14ac:dyDescent="0.25">
      <c r="A31" t="s">
        <v>88</v>
      </c>
      <c r="B31" t="s">
        <v>54</v>
      </c>
      <c r="C31" t="s">
        <v>42</v>
      </c>
      <c r="D31" t="s">
        <v>47</v>
      </c>
      <c r="E31">
        <v>92959</v>
      </c>
      <c r="F31" s="2">
        <v>42211</v>
      </c>
      <c r="G31">
        <v>5</v>
      </c>
      <c r="I31" t="s">
        <v>89</v>
      </c>
      <c r="J31" t="str">
        <f>PROPER(Table1[[#This Row],[Name]])</f>
        <v>Bob Johnson</v>
      </c>
      <c r="K31" t="str">
        <v>MARKETING</v>
      </c>
    </row>
    <row r="32" spans="1:11" x14ac:dyDescent="0.25">
      <c r="A32" t="s">
        <v>90</v>
      </c>
      <c r="C32" t="s">
        <v>42</v>
      </c>
      <c r="E32">
        <v>92259</v>
      </c>
      <c r="G32">
        <v>1</v>
      </c>
      <c r="H32" t="s">
        <v>13</v>
      </c>
      <c r="I32" t="s">
        <v>91</v>
      </c>
      <c r="J32" t="str">
        <f>PROPER(Table1[[#This Row],[Name]])</f>
        <v/>
      </c>
      <c r="K32" t="str">
        <v>MARKETING</v>
      </c>
    </row>
    <row r="33" spans="1:11" x14ac:dyDescent="0.25">
      <c r="A33" t="s">
        <v>92</v>
      </c>
      <c r="B33" t="s">
        <v>16</v>
      </c>
      <c r="C33" t="s">
        <v>17</v>
      </c>
      <c r="D33" t="s">
        <v>18</v>
      </c>
      <c r="E33">
        <v>92299</v>
      </c>
      <c r="F33" s="2">
        <v>42225</v>
      </c>
      <c r="G33">
        <v>3</v>
      </c>
      <c r="H33" t="s">
        <v>28</v>
      </c>
      <c r="I33" t="s">
        <v>93</v>
      </c>
      <c r="J33" t="str">
        <f>PROPER(Table1[[#This Row],[Name]])</f>
        <v>Eve Adams</v>
      </c>
      <c r="K33" t="str">
        <v>HR</v>
      </c>
    </row>
    <row r="34" spans="1:11" x14ac:dyDescent="0.25">
      <c r="A34" t="s">
        <v>94</v>
      </c>
      <c r="B34" t="s">
        <v>39</v>
      </c>
      <c r="C34" t="s">
        <v>17</v>
      </c>
      <c r="E34">
        <v>95586</v>
      </c>
      <c r="F34" s="2">
        <v>42232</v>
      </c>
      <c r="G34">
        <v>3</v>
      </c>
      <c r="H34" t="s">
        <v>19</v>
      </c>
      <c r="I34" t="s">
        <v>95</v>
      </c>
      <c r="J34" t="str">
        <f>PROPER(Table1[[#This Row],[Name]])</f>
        <v>Sam Wilson</v>
      </c>
      <c r="K34" t="str">
        <v>HR</v>
      </c>
    </row>
    <row r="35" spans="1:11" x14ac:dyDescent="0.25">
      <c r="A35" t="s">
        <v>96</v>
      </c>
      <c r="B35" t="s">
        <v>41</v>
      </c>
      <c r="D35" t="s">
        <v>27</v>
      </c>
      <c r="E35">
        <v>95367</v>
      </c>
      <c r="F35" s="2">
        <v>42239</v>
      </c>
      <c r="H35" t="s">
        <v>28</v>
      </c>
      <c r="I35" t="s">
        <v>97</v>
      </c>
      <c r="J35" t="str">
        <f>PROPER(Table1[[#This Row],[Name]])</f>
        <v>Chris Lee</v>
      </c>
      <c r="K35" t="str">
        <v/>
      </c>
    </row>
    <row r="36" spans="1:11" x14ac:dyDescent="0.25">
      <c r="A36" t="s">
        <v>98</v>
      </c>
      <c r="B36" t="s">
        <v>25</v>
      </c>
      <c r="C36" t="s">
        <v>26</v>
      </c>
      <c r="D36" t="s">
        <v>64</v>
      </c>
      <c r="E36">
        <v>79549</v>
      </c>
      <c r="F36" s="2">
        <v>42246</v>
      </c>
      <c r="G36">
        <v>3</v>
      </c>
      <c r="I36" t="s">
        <v>99</v>
      </c>
      <c r="J36" t="str">
        <f>PROPER(Table1[[#This Row],[Name]])</f>
        <v>John Doe</v>
      </c>
      <c r="K36" t="str">
        <v>SALES</v>
      </c>
    </row>
    <row r="37" spans="1:11" x14ac:dyDescent="0.25">
      <c r="A37" t="s">
        <v>100</v>
      </c>
      <c r="B37" t="s">
        <v>22</v>
      </c>
      <c r="D37" t="s">
        <v>47</v>
      </c>
      <c r="E37">
        <v>54463</v>
      </c>
      <c r="F37" s="2">
        <v>42253</v>
      </c>
      <c r="G37">
        <v>4</v>
      </c>
      <c r="H37" t="s">
        <v>28</v>
      </c>
      <c r="I37" t="s">
        <v>14</v>
      </c>
      <c r="J37" t="str">
        <f>PROPER(Table1[[#This Row],[Name]])</f>
        <v>Alice Brown</v>
      </c>
      <c r="K37" t="str">
        <v/>
      </c>
    </row>
    <row r="38" spans="1:11" x14ac:dyDescent="0.25">
      <c r="A38" t="s">
        <v>101</v>
      </c>
      <c r="B38" t="s">
        <v>22</v>
      </c>
      <c r="C38" t="s">
        <v>34</v>
      </c>
      <c r="D38" t="s">
        <v>27</v>
      </c>
      <c r="E38">
        <v>89781</v>
      </c>
      <c r="F38" s="2">
        <v>42260</v>
      </c>
      <c r="H38" t="s">
        <v>36</v>
      </c>
      <c r="I38" t="s">
        <v>102</v>
      </c>
      <c r="J38" t="str">
        <f>PROPER(Table1[[#This Row],[Name]])</f>
        <v>Alice Brown</v>
      </c>
      <c r="K38" t="str">
        <v>IT</v>
      </c>
    </row>
    <row r="39" spans="1:11" x14ac:dyDescent="0.25">
      <c r="A39" t="s">
        <v>103</v>
      </c>
      <c r="B39" t="s">
        <v>22</v>
      </c>
      <c r="C39" t="s">
        <v>17</v>
      </c>
      <c r="E39">
        <v>64796</v>
      </c>
      <c r="F39" s="2">
        <v>42267</v>
      </c>
      <c r="H39" t="s">
        <v>19</v>
      </c>
      <c r="I39" t="s">
        <v>104</v>
      </c>
      <c r="J39" t="str">
        <f>PROPER(Table1[[#This Row],[Name]])</f>
        <v>Alice Brown</v>
      </c>
      <c r="K39" t="str">
        <v>HR</v>
      </c>
    </row>
    <row r="40" spans="1:11" x14ac:dyDescent="0.25">
      <c r="A40" t="s">
        <v>105</v>
      </c>
      <c r="B40" t="s">
        <v>25</v>
      </c>
      <c r="C40" t="s">
        <v>42</v>
      </c>
      <c r="D40" t="s">
        <v>47</v>
      </c>
      <c r="E40">
        <v>52093</v>
      </c>
      <c r="F40" s="2">
        <v>42274</v>
      </c>
      <c r="G40">
        <v>5</v>
      </c>
      <c r="I40" t="s">
        <v>106</v>
      </c>
      <c r="J40" t="str">
        <f>PROPER(Table1[[#This Row],[Name]])</f>
        <v>John Doe</v>
      </c>
      <c r="K40" t="str">
        <v>MARKETING</v>
      </c>
    </row>
    <row r="41" spans="1:11" x14ac:dyDescent="0.25">
      <c r="A41" t="s">
        <v>107</v>
      </c>
      <c r="B41" t="s">
        <v>41</v>
      </c>
      <c r="C41" t="s">
        <v>17</v>
      </c>
      <c r="D41" t="s">
        <v>47</v>
      </c>
      <c r="E41">
        <v>48224</v>
      </c>
      <c r="F41" s="2">
        <v>42281</v>
      </c>
      <c r="G41">
        <v>3</v>
      </c>
      <c r="I41" t="s">
        <v>108</v>
      </c>
      <c r="J41" t="str">
        <f>PROPER(Table1[[#This Row],[Name]])</f>
        <v>Chris Lee</v>
      </c>
      <c r="K41" t="str">
        <v>HR</v>
      </c>
    </row>
    <row r="42" spans="1:11" x14ac:dyDescent="0.25">
      <c r="A42" t="s">
        <v>109</v>
      </c>
      <c r="B42" t="s">
        <v>54</v>
      </c>
      <c r="C42" t="s">
        <v>10</v>
      </c>
      <c r="D42" t="s">
        <v>47</v>
      </c>
      <c r="E42" t="s">
        <v>12</v>
      </c>
      <c r="G42">
        <v>4</v>
      </c>
      <c r="H42" t="s">
        <v>36</v>
      </c>
      <c r="I42" t="s">
        <v>110</v>
      </c>
      <c r="J42" t="str">
        <f>PROPER(Table1[[#This Row],[Name]])</f>
        <v>Bob Johnson</v>
      </c>
      <c r="K42" t="str">
        <v>FINANCE</v>
      </c>
    </row>
    <row r="43" spans="1:11" x14ac:dyDescent="0.25">
      <c r="A43" t="s">
        <v>111</v>
      </c>
      <c r="B43" t="s">
        <v>22</v>
      </c>
      <c r="C43" t="s">
        <v>34</v>
      </c>
      <c r="D43" t="s">
        <v>18</v>
      </c>
      <c r="E43">
        <v>33956</v>
      </c>
      <c r="F43" s="2">
        <v>42295</v>
      </c>
      <c r="I43" t="s">
        <v>112</v>
      </c>
      <c r="J43" t="str">
        <f>PROPER(Table1[[#This Row],[Name]])</f>
        <v>Alice Brown</v>
      </c>
      <c r="K43" t="str">
        <v>IT</v>
      </c>
    </row>
    <row r="44" spans="1:11" x14ac:dyDescent="0.25">
      <c r="A44" t="s">
        <v>113</v>
      </c>
      <c r="B44" t="s">
        <v>54</v>
      </c>
      <c r="D44" t="s">
        <v>64</v>
      </c>
      <c r="E44">
        <v>64913</v>
      </c>
      <c r="F44" s="2">
        <v>42302</v>
      </c>
      <c r="G44">
        <v>1</v>
      </c>
      <c r="H44" t="s">
        <v>36</v>
      </c>
      <c r="I44" t="s">
        <v>114</v>
      </c>
      <c r="J44" t="str">
        <f>PROPER(Table1[[#This Row],[Name]])</f>
        <v>Bob Johnson</v>
      </c>
      <c r="K44" t="str">
        <v/>
      </c>
    </row>
    <row r="45" spans="1:11" x14ac:dyDescent="0.25">
      <c r="A45" t="s">
        <v>115</v>
      </c>
      <c r="B45" t="s">
        <v>22</v>
      </c>
      <c r="C45" t="s">
        <v>42</v>
      </c>
      <c r="D45" t="s">
        <v>64</v>
      </c>
      <c r="E45">
        <v>35326</v>
      </c>
      <c r="F45" s="2">
        <v>42309</v>
      </c>
      <c r="H45" t="s">
        <v>36</v>
      </c>
      <c r="I45" t="s">
        <v>116</v>
      </c>
      <c r="J45" t="str">
        <f>PROPER(Table1[[#This Row],[Name]])</f>
        <v>Alice Brown</v>
      </c>
      <c r="K45" t="str">
        <v>MARKETING</v>
      </c>
    </row>
    <row r="46" spans="1:11" x14ac:dyDescent="0.25">
      <c r="A46" t="s">
        <v>117</v>
      </c>
      <c r="B46" t="s">
        <v>41</v>
      </c>
      <c r="C46" t="s">
        <v>10</v>
      </c>
      <c r="E46">
        <v>81610</v>
      </c>
      <c r="F46" s="2">
        <v>42316</v>
      </c>
      <c r="G46">
        <v>1</v>
      </c>
      <c r="I46" t="s">
        <v>118</v>
      </c>
      <c r="J46" t="str">
        <f>PROPER(Table1[[#This Row],[Name]])</f>
        <v>Chris Lee</v>
      </c>
      <c r="K46" t="str">
        <v>FINANCE</v>
      </c>
    </row>
    <row r="47" spans="1:11" x14ac:dyDescent="0.25">
      <c r="A47" t="s">
        <v>119</v>
      </c>
      <c r="C47" t="s">
        <v>17</v>
      </c>
      <c r="E47">
        <v>58962</v>
      </c>
      <c r="F47" s="2">
        <v>42323</v>
      </c>
      <c r="G47">
        <v>3</v>
      </c>
      <c r="H47" t="s">
        <v>19</v>
      </c>
      <c r="I47" t="s">
        <v>20</v>
      </c>
      <c r="J47" t="str">
        <f>PROPER(Table1[[#This Row],[Name]])</f>
        <v/>
      </c>
      <c r="K47" t="str">
        <v>HR</v>
      </c>
    </row>
    <row r="48" spans="1:11" x14ac:dyDescent="0.25">
      <c r="A48" t="s">
        <v>120</v>
      </c>
      <c r="B48" t="s">
        <v>41</v>
      </c>
      <c r="C48" t="s">
        <v>34</v>
      </c>
      <c r="D48" t="s">
        <v>18</v>
      </c>
      <c r="E48">
        <v>92701</v>
      </c>
      <c r="F48" s="2">
        <v>42330</v>
      </c>
      <c r="G48">
        <v>3</v>
      </c>
      <c r="H48" t="s">
        <v>19</v>
      </c>
      <c r="I48" t="s">
        <v>121</v>
      </c>
      <c r="J48" t="str">
        <f>PROPER(Table1[[#This Row],[Name]])</f>
        <v>Chris Lee</v>
      </c>
      <c r="K48" t="str">
        <v>IT</v>
      </c>
    </row>
    <row r="49" spans="1:11" x14ac:dyDescent="0.25">
      <c r="A49" t="s">
        <v>122</v>
      </c>
      <c r="B49" t="s">
        <v>41</v>
      </c>
      <c r="C49" t="s">
        <v>17</v>
      </c>
      <c r="D49" t="s">
        <v>35</v>
      </c>
      <c r="E49">
        <v>58245</v>
      </c>
      <c r="F49" s="2">
        <v>42337</v>
      </c>
      <c r="G49">
        <v>4</v>
      </c>
      <c r="I49" t="s">
        <v>123</v>
      </c>
      <c r="J49" t="str">
        <f>PROPER(Table1[[#This Row],[Name]])</f>
        <v>Chris Lee</v>
      </c>
      <c r="K49" t="str">
        <v>HR</v>
      </c>
    </row>
    <row r="50" spans="1:11" x14ac:dyDescent="0.25">
      <c r="A50" t="s">
        <v>124</v>
      </c>
      <c r="B50" t="s">
        <v>25</v>
      </c>
      <c r="C50" t="s">
        <v>10</v>
      </c>
      <c r="E50">
        <v>66513</v>
      </c>
      <c r="F50" s="2">
        <v>42344</v>
      </c>
      <c r="G50">
        <v>2</v>
      </c>
      <c r="H50" t="s">
        <v>19</v>
      </c>
      <c r="I50" t="s">
        <v>37</v>
      </c>
      <c r="J50" t="str">
        <f>PROPER(Table1[[#This Row],[Name]])</f>
        <v>John Doe</v>
      </c>
      <c r="K50" t="str">
        <v>FINANCE</v>
      </c>
    </row>
    <row r="51" spans="1:11" x14ac:dyDescent="0.25">
      <c r="A51" t="s">
        <v>125</v>
      </c>
      <c r="B51" t="s">
        <v>16</v>
      </c>
      <c r="C51" t="s">
        <v>17</v>
      </c>
      <c r="D51" t="s">
        <v>18</v>
      </c>
      <c r="E51">
        <v>78720</v>
      </c>
      <c r="F51" s="2">
        <v>42351</v>
      </c>
      <c r="G51">
        <v>5</v>
      </c>
      <c r="H51" t="s">
        <v>36</v>
      </c>
      <c r="I51" t="s">
        <v>110</v>
      </c>
      <c r="J51" t="str">
        <f>PROPER(Table1[[#This Row],[Name]])</f>
        <v>Eve Adams</v>
      </c>
      <c r="K51" t="str">
        <v>HR</v>
      </c>
    </row>
    <row r="52" spans="1:11" x14ac:dyDescent="0.25">
      <c r="A52" t="s">
        <v>126</v>
      </c>
      <c r="B52" t="s">
        <v>41</v>
      </c>
      <c r="D52" t="s">
        <v>11</v>
      </c>
      <c r="E52">
        <v>30686</v>
      </c>
      <c r="G52">
        <v>2</v>
      </c>
      <c r="H52" t="s">
        <v>36</v>
      </c>
      <c r="I52" t="s">
        <v>127</v>
      </c>
      <c r="J52" t="str">
        <f>PROPER(Table1[[#This Row],[Name]])</f>
        <v>Chris Lee</v>
      </c>
      <c r="K52" t="str">
        <v/>
      </c>
    </row>
    <row r="53" spans="1:11" x14ac:dyDescent="0.25">
      <c r="A53" t="s">
        <v>128</v>
      </c>
      <c r="B53" t="s">
        <v>39</v>
      </c>
      <c r="C53" t="s">
        <v>26</v>
      </c>
      <c r="D53" t="s">
        <v>35</v>
      </c>
      <c r="E53">
        <v>39423</v>
      </c>
      <c r="F53" s="2">
        <v>42365</v>
      </c>
      <c r="G53">
        <v>5</v>
      </c>
      <c r="I53" t="s">
        <v>129</v>
      </c>
      <c r="J53" t="str">
        <f>PROPER(Table1[[#This Row],[Name]])</f>
        <v>Sam Wilson</v>
      </c>
      <c r="K53" t="str">
        <v>SALES</v>
      </c>
    </row>
    <row r="54" spans="1:11" x14ac:dyDescent="0.25">
      <c r="A54" t="s">
        <v>130</v>
      </c>
      <c r="B54" t="s">
        <v>16</v>
      </c>
      <c r="C54" t="s">
        <v>42</v>
      </c>
      <c r="E54">
        <v>30280</v>
      </c>
      <c r="F54" s="2">
        <v>42372</v>
      </c>
      <c r="G54">
        <v>1</v>
      </c>
      <c r="I54" t="s">
        <v>131</v>
      </c>
      <c r="J54" t="str">
        <f>PROPER(Table1[[#This Row],[Name]])</f>
        <v>Eve Adams</v>
      </c>
      <c r="K54" t="str">
        <v>MARKETING</v>
      </c>
    </row>
    <row r="55" spans="1:11" x14ac:dyDescent="0.25">
      <c r="A55" t="s">
        <v>132</v>
      </c>
      <c r="B55" t="s">
        <v>16</v>
      </c>
      <c r="C55" t="s">
        <v>10</v>
      </c>
      <c r="D55" t="s">
        <v>47</v>
      </c>
      <c r="E55">
        <v>33352</v>
      </c>
      <c r="F55" s="2">
        <v>42379</v>
      </c>
      <c r="G55">
        <v>3</v>
      </c>
      <c r="H55" t="s">
        <v>36</v>
      </c>
      <c r="I55" t="s">
        <v>71</v>
      </c>
      <c r="J55" t="str">
        <f>PROPER(Table1[[#This Row],[Name]])</f>
        <v>Eve Adams</v>
      </c>
      <c r="K55" t="str">
        <v>FINANCE</v>
      </c>
    </row>
    <row r="56" spans="1:11" x14ac:dyDescent="0.25">
      <c r="A56" t="s">
        <v>133</v>
      </c>
      <c r="B56" t="s">
        <v>54</v>
      </c>
      <c r="C56" t="s">
        <v>42</v>
      </c>
      <c r="D56" t="s">
        <v>47</v>
      </c>
      <c r="E56">
        <v>75633</v>
      </c>
      <c r="F56" s="2">
        <v>42386</v>
      </c>
      <c r="G56">
        <v>5</v>
      </c>
      <c r="H56" t="s">
        <v>19</v>
      </c>
      <c r="I56" t="s">
        <v>134</v>
      </c>
      <c r="J56" t="str">
        <f>PROPER(Table1[[#This Row],[Name]])</f>
        <v>Bob Johnson</v>
      </c>
      <c r="K56" t="str">
        <v>MARKETING</v>
      </c>
    </row>
    <row r="57" spans="1:11" x14ac:dyDescent="0.25">
      <c r="A57" t="s">
        <v>135</v>
      </c>
      <c r="B57" t="s">
        <v>41</v>
      </c>
      <c r="D57" t="s">
        <v>27</v>
      </c>
      <c r="E57">
        <v>74815</v>
      </c>
      <c r="F57" s="2">
        <v>42393</v>
      </c>
      <c r="G57">
        <v>5</v>
      </c>
      <c r="H57" t="s">
        <v>36</v>
      </c>
      <c r="I57" t="s">
        <v>136</v>
      </c>
      <c r="J57" t="str">
        <f>PROPER(Table1[[#This Row],[Name]])</f>
        <v>Chris Lee</v>
      </c>
      <c r="K57" t="str">
        <v/>
      </c>
    </row>
    <row r="58" spans="1:11" x14ac:dyDescent="0.25">
      <c r="A58" t="s">
        <v>137</v>
      </c>
      <c r="B58" t="s">
        <v>25</v>
      </c>
      <c r="C58" t="s">
        <v>26</v>
      </c>
      <c r="D58" t="s">
        <v>64</v>
      </c>
      <c r="E58">
        <v>60011</v>
      </c>
      <c r="F58" s="2">
        <v>42400</v>
      </c>
      <c r="G58">
        <v>1</v>
      </c>
      <c r="H58" t="s">
        <v>28</v>
      </c>
      <c r="I58" t="s">
        <v>138</v>
      </c>
      <c r="J58" t="str">
        <f>PROPER(Table1[[#This Row],[Name]])</f>
        <v>John Doe</v>
      </c>
      <c r="K58" t="str">
        <v>SALES</v>
      </c>
    </row>
    <row r="59" spans="1:11" x14ac:dyDescent="0.25">
      <c r="A59" t="s">
        <v>139</v>
      </c>
      <c r="B59" t="s">
        <v>16</v>
      </c>
      <c r="D59" t="s">
        <v>35</v>
      </c>
      <c r="E59">
        <v>96949</v>
      </c>
      <c r="F59" s="2">
        <v>42407</v>
      </c>
      <c r="G59">
        <v>3</v>
      </c>
      <c r="I59" t="s">
        <v>85</v>
      </c>
      <c r="J59" t="str">
        <f>PROPER(Table1[[#This Row],[Name]])</f>
        <v>Eve Adams</v>
      </c>
      <c r="K59" t="str">
        <v/>
      </c>
    </row>
    <row r="60" spans="1:11" x14ac:dyDescent="0.25">
      <c r="A60" t="s">
        <v>140</v>
      </c>
      <c r="B60" t="s">
        <v>39</v>
      </c>
      <c r="C60" t="s">
        <v>42</v>
      </c>
      <c r="E60">
        <v>84924</v>
      </c>
      <c r="F60" s="2">
        <v>42414</v>
      </c>
      <c r="G60">
        <v>5</v>
      </c>
      <c r="H60" t="s">
        <v>28</v>
      </c>
      <c r="I60" t="s">
        <v>141</v>
      </c>
      <c r="J60" t="str">
        <f>PROPER(Table1[[#This Row],[Name]])</f>
        <v>Sam Wilson</v>
      </c>
      <c r="K60" t="str">
        <v>MARKETING</v>
      </c>
    </row>
    <row r="61" spans="1:11" x14ac:dyDescent="0.25">
      <c r="A61" t="s">
        <v>142</v>
      </c>
      <c r="B61" t="s">
        <v>39</v>
      </c>
      <c r="C61" t="s">
        <v>10</v>
      </c>
      <c r="D61" t="s">
        <v>27</v>
      </c>
      <c r="E61">
        <v>82033</v>
      </c>
      <c r="F61" s="2">
        <v>42421</v>
      </c>
      <c r="G61">
        <v>1</v>
      </c>
      <c r="I61" t="s">
        <v>118</v>
      </c>
      <c r="J61" t="str">
        <f>PROPER(Table1[[#This Row],[Name]])</f>
        <v>Sam Wilson</v>
      </c>
      <c r="K61" t="str">
        <v>FINANCE</v>
      </c>
    </row>
    <row r="62" spans="1:11" x14ac:dyDescent="0.25">
      <c r="A62" t="s">
        <v>143</v>
      </c>
      <c r="C62" t="s">
        <v>42</v>
      </c>
      <c r="D62" t="s">
        <v>18</v>
      </c>
      <c r="E62" t="s">
        <v>12</v>
      </c>
      <c r="G62">
        <v>5</v>
      </c>
      <c r="H62" t="s">
        <v>13</v>
      </c>
      <c r="I62" t="s">
        <v>144</v>
      </c>
      <c r="J62" t="str">
        <f>PROPER(Table1[[#This Row],[Name]])</f>
        <v/>
      </c>
      <c r="K62" t="str">
        <v>MARKETING</v>
      </c>
    </row>
    <row r="63" spans="1:11" x14ac:dyDescent="0.25">
      <c r="A63" t="s">
        <v>145</v>
      </c>
      <c r="B63" t="s">
        <v>16</v>
      </c>
      <c r="D63" t="s">
        <v>64</v>
      </c>
      <c r="E63">
        <v>31499</v>
      </c>
      <c r="F63" s="2">
        <v>42435</v>
      </c>
      <c r="G63">
        <v>2</v>
      </c>
      <c r="I63" t="s">
        <v>102</v>
      </c>
      <c r="J63" t="str">
        <f>PROPER(Table1[[#This Row],[Name]])</f>
        <v>Eve Adams</v>
      </c>
      <c r="K63" t="str">
        <v/>
      </c>
    </row>
    <row r="64" spans="1:11" x14ac:dyDescent="0.25">
      <c r="A64" t="s">
        <v>146</v>
      </c>
      <c r="B64" t="s">
        <v>41</v>
      </c>
      <c r="C64" t="s">
        <v>34</v>
      </c>
      <c r="D64" t="s">
        <v>47</v>
      </c>
      <c r="E64">
        <v>97981</v>
      </c>
      <c r="F64" s="2">
        <v>42442</v>
      </c>
      <c r="G64">
        <v>5</v>
      </c>
      <c r="H64" t="s">
        <v>36</v>
      </c>
      <c r="I64" t="s">
        <v>147</v>
      </c>
      <c r="J64" t="str">
        <f>PROPER(Table1[[#This Row],[Name]])</f>
        <v>Chris Lee</v>
      </c>
      <c r="K64" t="str">
        <v>IT</v>
      </c>
    </row>
    <row r="65" spans="1:11" x14ac:dyDescent="0.25">
      <c r="A65" t="s">
        <v>148</v>
      </c>
      <c r="B65" t="s">
        <v>16</v>
      </c>
      <c r="C65" t="s">
        <v>17</v>
      </c>
      <c r="D65" t="s">
        <v>27</v>
      </c>
      <c r="E65">
        <v>36541</v>
      </c>
      <c r="F65" s="2">
        <v>42449</v>
      </c>
      <c r="G65">
        <v>2</v>
      </c>
      <c r="H65" t="s">
        <v>19</v>
      </c>
      <c r="I65" t="s">
        <v>149</v>
      </c>
      <c r="J65" t="str">
        <f>PROPER(Table1[[#This Row],[Name]])</f>
        <v>Eve Adams</v>
      </c>
      <c r="K65" t="str">
        <v>HR</v>
      </c>
    </row>
    <row r="66" spans="1:11" x14ac:dyDescent="0.25">
      <c r="A66" t="s">
        <v>150</v>
      </c>
      <c r="B66" t="s">
        <v>25</v>
      </c>
      <c r="C66" t="s">
        <v>34</v>
      </c>
      <c r="D66" t="s">
        <v>35</v>
      </c>
      <c r="E66">
        <v>84737</v>
      </c>
      <c r="F66" s="2">
        <v>42456</v>
      </c>
      <c r="G66">
        <v>1</v>
      </c>
      <c r="H66" t="s">
        <v>28</v>
      </c>
      <c r="I66" t="s">
        <v>151</v>
      </c>
      <c r="J66" t="str">
        <f>PROPER(Table1[[#This Row],[Name]])</f>
        <v>John Doe</v>
      </c>
      <c r="K66" t="str">
        <v>IT</v>
      </c>
    </row>
    <row r="67" spans="1:11" x14ac:dyDescent="0.25">
      <c r="A67" t="s">
        <v>152</v>
      </c>
      <c r="B67" t="s">
        <v>39</v>
      </c>
      <c r="C67" t="s">
        <v>10</v>
      </c>
      <c r="D67" t="s">
        <v>35</v>
      </c>
      <c r="E67">
        <v>33468</v>
      </c>
      <c r="F67" s="2">
        <v>42463</v>
      </c>
      <c r="G67">
        <v>4</v>
      </c>
      <c r="H67" t="s">
        <v>28</v>
      </c>
      <c r="I67" t="s">
        <v>153</v>
      </c>
      <c r="J67" t="str">
        <f>PROPER(Table1[[#This Row],[Name]])</f>
        <v>Sam Wilson</v>
      </c>
      <c r="K67" t="str">
        <v>FINANCE</v>
      </c>
    </row>
    <row r="68" spans="1:11" x14ac:dyDescent="0.25">
      <c r="A68" t="s">
        <v>154</v>
      </c>
      <c r="B68" t="s">
        <v>39</v>
      </c>
      <c r="D68" t="s">
        <v>64</v>
      </c>
      <c r="E68">
        <v>96365</v>
      </c>
      <c r="F68" s="2">
        <v>42470</v>
      </c>
      <c r="G68">
        <v>3</v>
      </c>
      <c r="H68" t="s">
        <v>19</v>
      </c>
      <c r="I68" t="s">
        <v>155</v>
      </c>
      <c r="J68" t="str">
        <f>PROPER(Table1[[#This Row],[Name]])</f>
        <v>Sam Wilson</v>
      </c>
      <c r="K68" t="str">
        <v/>
      </c>
    </row>
    <row r="69" spans="1:11" x14ac:dyDescent="0.25">
      <c r="A69" t="s">
        <v>156</v>
      </c>
      <c r="B69" t="s">
        <v>22</v>
      </c>
      <c r="C69" t="s">
        <v>26</v>
      </c>
      <c r="D69" t="s">
        <v>35</v>
      </c>
      <c r="E69">
        <v>61942</v>
      </c>
      <c r="F69" s="2">
        <v>42477</v>
      </c>
      <c r="G69">
        <v>3</v>
      </c>
      <c r="H69" t="s">
        <v>36</v>
      </c>
      <c r="I69" t="s">
        <v>157</v>
      </c>
      <c r="J69" t="str">
        <f>PROPER(Table1[[#This Row],[Name]])</f>
        <v>Alice Brown</v>
      </c>
      <c r="K69" t="str">
        <v>SALES</v>
      </c>
    </row>
    <row r="70" spans="1:11" x14ac:dyDescent="0.25">
      <c r="A70" t="s">
        <v>158</v>
      </c>
      <c r="B70" t="s">
        <v>39</v>
      </c>
      <c r="C70" t="s">
        <v>10</v>
      </c>
      <c r="D70" t="s">
        <v>47</v>
      </c>
      <c r="E70">
        <v>41467</v>
      </c>
      <c r="F70" s="2">
        <v>42484</v>
      </c>
      <c r="G70">
        <v>2</v>
      </c>
      <c r="I70" t="s">
        <v>73</v>
      </c>
      <c r="J70" t="str">
        <f>PROPER(Table1[[#This Row],[Name]])</f>
        <v>Sam Wilson</v>
      </c>
      <c r="K70" t="str">
        <v>FINANCE</v>
      </c>
    </row>
    <row r="71" spans="1:11" x14ac:dyDescent="0.25">
      <c r="A71" t="s">
        <v>159</v>
      </c>
      <c r="B71" t="s">
        <v>54</v>
      </c>
      <c r="C71" t="s">
        <v>10</v>
      </c>
      <c r="D71" t="s">
        <v>35</v>
      </c>
      <c r="E71">
        <v>77096</v>
      </c>
      <c r="F71" s="2">
        <v>42491</v>
      </c>
      <c r="G71">
        <v>1</v>
      </c>
      <c r="I71" t="s">
        <v>160</v>
      </c>
      <c r="J71" t="str">
        <f>PROPER(Table1[[#This Row],[Name]])</f>
        <v>Bob Johnson</v>
      </c>
      <c r="K71" t="str">
        <v>FINANCE</v>
      </c>
    </row>
    <row r="72" spans="1:11" x14ac:dyDescent="0.25">
      <c r="A72" t="s">
        <v>161</v>
      </c>
      <c r="B72" t="s">
        <v>16</v>
      </c>
      <c r="C72" t="s">
        <v>26</v>
      </c>
      <c r="D72" t="s">
        <v>64</v>
      </c>
      <c r="E72">
        <v>69952</v>
      </c>
      <c r="F72" s="2">
        <v>42498</v>
      </c>
      <c r="G72">
        <v>5</v>
      </c>
      <c r="H72" t="s">
        <v>36</v>
      </c>
      <c r="I72" t="s">
        <v>14</v>
      </c>
      <c r="J72" t="str">
        <f>PROPER(Table1[[#This Row],[Name]])</f>
        <v>Eve Adams</v>
      </c>
      <c r="K72" t="str">
        <v>SALES</v>
      </c>
    </row>
    <row r="73" spans="1:11" x14ac:dyDescent="0.25">
      <c r="A73" t="s">
        <v>162</v>
      </c>
      <c r="B73" t="s">
        <v>16</v>
      </c>
      <c r="C73" t="s">
        <v>42</v>
      </c>
      <c r="D73" t="s">
        <v>27</v>
      </c>
      <c r="E73">
        <v>85065</v>
      </c>
      <c r="F73" s="2">
        <v>42505</v>
      </c>
      <c r="G73">
        <v>3</v>
      </c>
      <c r="I73" t="s">
        <v>163</v>
      </c>
      <c r="J73" t="str">
        <f>PROPER(Table1[[#This Row],[Name]])</f>
        <v>Eve Adams</v>
      </c>
      <c r="K73" t="str">
        <v>MARKETING</v>
      </c>
    </row>
    <row r="74" spans="1:11" x14ac:dyDescent="0.25">
      <c r="A74" t="s">
        <v>164</v>
      </c>
      <c r="B74" t="s">
        <v>54</v>
      </c>
      <c r="C74" t="s">
        <v>42</v>
      </c>
      <c r="D74" t="s">
        <v>35</v>
      </c>
      <c r="E74">
        <v>56512</v>
      </c>
      <c r="F74" s="2">
        <v>42512</v>
      </c>
      <c r="H74" t="s">
        <v>19</v>
      </c>
      <c r="I74" t="s">
        <v>48</v>
      </c>
      <c r="J74" t="str">
        <f>PROPER(Table1[[#This Row],[Name]])</f>
        <v>Bob Johnson</v>
      </c>
      <c r="K74" t="str">
        <v>MARKETING</v>
      </c>
    </row>
    <row r="75" spans="1:11" x14ac:dyDescent="0.25">
      <c r="A75" t="s">
        <v>165</v>
      </c>
      <c r="B75" t="s">
        <v>25</v>
      </c>
      <c r="C75" t="s">
        <v>26</v>
      </c>
      <c r="D75" t="s">
        <v>35</v>
      </c>
      <c r="E75">
        <v>91101</v>
      </c>
      <c r="F75" s="2">
        <v>42519</v>
      </c>
      <c r="G75">
        <v>4</v>
      </c>
      <c r="H75" t="s">
        <v>36</v>
      </c>
      <c r="I75" t="s">
        <v>147</v>
      </c>
      <c r="J75" t="str">
        <f>PROPER(Table1[[#This Row],[Name]])</f>
        <v>John Doe</v>
      </c>
      <c r="K75" t="str">
        <v>SALES</v>
      </c>
    </row>
    <row r="76" spans="1:11" x14ac:dyDescent="0.25">
      <c r="A76" t="s">
        <v>166</v>
      </c>
      <c r="B76" t="s">
        <v>39</v>
      </c>
      <c r="D76" t="s">
        <v>18</v>
      </c>
      <c r="E76">
        <v>41243</v>
      </c>
      <c r="F76" s="2">
        <v>42526</v>
      </c>
      <c r="I76" t="s">
        <v>93</v>
      </c>
      <c r="J76" t="str">
        <f>PROPER(Table1[[#This Row],[Name]])</f>
        <v>Sam Wilson</v>
      </c>
      <c r="K76" t="str">
        <v/>
      </c>
    </row>
    <row r="77" spans="1:11" x14ac:dyDescent="0.25">
      <c r="A77" t="s">
        <v>167</v>
      </c>
      <c r="C77" t="s">
        <v>26</v>
      </c>
      <c r="D77" t="s">
        <v>11</v>
      </c>
      <c r="E77">
        <v>96142</v>
      </c>
      <c r="F77" s="2">
        <v>42533</v>
      </c>
      <c r="G77">
        <v>1</v>
      </c>
      <c r="H77" t="s">
        <v>19</v>
      </c>
      <c r="I77" t="s">
        <v>168</v>
      </c>
      <c r="J77" t="str">
        <f>PROPER(Table1[[#This Row],[Name]])</f>
        <v/>
      </c>
      <c r="K77" t="str">
        <v>SALES</v>
      </c>
    </row>
    <row r="78" spans="1:11" x14ac:dyDescent="0.25">
      <c r="A78" t="s">
        <v>169</v>
      </c>
      <c r="B78" t="s">
        <v>16</v>
      </c>
      <c r="C78" t="s">
        <v>34</v>
      </c>
      <c r="D78" t="s">
        <v>35</v>
      </c>
      <c r="E78">
        <v>94301</v>
      </c>
      <c r="F78" s="2">
        <v>42540</v>
      </c>
      <c r="G78">
        <v>1</v>
      </c>
      <c r="H78" t="s">
        <v>28</v>
      </c>
      <c r="I78" t="s">
        <v>118</v>
      </c>
      <c r="J78" t="str">
        <f>PROPER(Table1[[#This Row],[Name]])</f>
        <v>Eve Adams</v>
      </c>
      <c r="K78" t="str">
        <v>IT</v>
      </c>
    </row>
    <row r="79" spans="1:11" x14ac:dyDescent="0.25">
      <c r="A79" t="s">
        <v>170</v>
      </c>
      <c r="B79" t="s">
        <v>31</v>
      </c>
      <c r="D79" t="s">
        <v>47</v>
      </c>
      <c r="E79">
        <v>69166</v>
      </c>
      <c r="F79" s="2">
        <v>42547</v>
      </c>
      <c r="G79">
        <v>1</v>
      </c>
      <c r="H79" t="s">
        <v>36</v>
      </c>
      <c r="I79" t="s">
        <v>171</v>
      </c>
      <c r="J79" t="str">
        <f>PROPER(Table1[[#This Row],[Name]])</f>
        <v>Jane Smith</v>
      </c>
      <c r="K79" t="str">
        <v/>
      </c>
    </row>
    <row r="80" spans="1:11" x14ac:dyDescent="0.25">
      <c r="A80" t="s">
        <v>172</v>
      </c>
      <c r="B80" t="s">
        <v>39</v>
      </c>
      <c r="D80" t="s">
        <v>47</v>
      </c>
      <c r="E80">
        <v>78245</v>
      </c>
      <c r="F80" s="2">
        <v>42554</v>
      </c>
      <c r="G80">
        <v>2</v>
      </c>
      <c r="I80" t="s">
        <v>173</v>
      </c>
      <c r="J80" t="str">
        <f>PROPER(Table1[[#This Row],[Name]])</f>
        <v>Sam Wilson</v>
      </c>
      <c r="K80" t="str">
        <v/>
      </c>
    </row>
    <row r="81" spans="1:11" x14ac:dyDescent="0.25">
      <c r="A81" t="s">
        <v>174</v>
      </c>
      <c r="B81" t="s">
        <v>41</v>
      </c>
      <c r="C81" t="s">
        <v>26</v>
      </c>
      <c r="D81" t="s">
        <v>27</v>
      </c>
      <c r="E81">
        <v>66079</v>
      </c>
      <c r="F81" s="2">
        <v>42561</v>
      </c>
      <c r="G81">
        <v>2</v>
      </c>
      <c r="H81" t="s">
        <v>19</v>
      </c>
      <c r="I81" t="s">
        <v>175</v>
      </c>
      <c r="J81" t="str">
        <f>PROPER(Table1[[#This Row],[Name]])</f>
        <v>Chris Lee</v>
      </c>
      <c r="K81" t="str">
        <v>SALES</v>
      </c>
    </row>
    <row r="82" spans="1:11" x14ac:dyDescent="0.25">
      <c r="A82" t="s">
        <v>176</v>
      </c>
      <c r="B82" t="s">
        <v>16</v>
      </c>
      <c r="C82" t="s">
        <v>42</v>
      </c>
      <c r="D82" t="s">
        <v>35</v>
      </c>
      <c r="E82" t="s">
        <v>12</v>
      </c>
      <c r="I82" t="s">
        <v>87</v>
      </c>
      <c r="J82" t="str">
        <f>PROPER(Table1[[#This Row],[Name]])</f>
        <v>Eve Adams</v>
      </c>
      <c r="K82" t="str">
        <v>MARKETING</v>
      </c>
    </row>
    <row r="83" spans="1:11" x14ac:dyDescent="0.25">
      <c r="A83" t="s">
        <v>177</v>
      </c>
      <c r="B83" t="s">
        <v>31</v>
      </c>
      <c r="C83" t="s">
        <v>26</v>
      </c>
      <c r="D83" t="s">
        <v>27</v>
      </c>
      <c r="E83">
        <v>95621</v>
      </c>
      <c r="F83" s="2">
        <v>42575</v>
      </c>
      <c r="G83">
        <v>3</v>
      </c>
      <c r="H83" t="s">
        <v>36</v>
      </c>
      <c r="I83" t="s">
        <v>178</v>
      </c>
      <c r="J83" t="str">
        <f>PROPER(Table1[[#This Row],[Name]])</f>
        <v>Jane Smith</v>
      </c>
      <c r="K83" t="str">
        <v>SALES</v>
      </c>
    </row>
    <row r="84" spans="1:11" x14ac:dyDescent="0.25">
      <c r="A84" t="s">
        <v>179</v>
      </c>
      <c r="B84" t="s">
        <v>16</v>
      </c>
      <c r="C84" t="s">
        <v>34</v>
      </c>
      <c r="D84" t="s">
        <v>47</v>
      </c>
      <c r="E84">
        <v>42262</v>
      </c>
      <c r="F84" s="2">
        <v>42582</v>
      </c>
      <c r="G84">
        <v>1</v>
      </c>
      <c r="I84" t="s">
        <v>180</v>
      </c>
      <c r="J84" t="str">
        <f>PROPER(Table1[[#This Row],[Name]])</f>
        <v>Eve Adams</v>
      </c>
      <c r="K84" t="str">
        <v>IT</v>
      </c>
    </row>
    <row r="85" spans="1:11" x14ac:dyDescent="0.25">
      <c r="A85" t="s">
        <v>181</v>
      </c>
      <c r="B85" t="s">
        <v>39</v>
      </c>
      <c r="C85" t="s">
        <v>26</v>
      </c>
      <c r="D85" t="s">
        <v>35</v>
      </c>
      <c r="E85">
        <v>99621</v>
      </c>
      <c r="F85" s="2">
        <v>42589</v>
      </c>
      <c r="H85" t="s">
        <v>19</v>
      </c>
      <c r="I85" t="s">
        <v>182</v>
      </c>
      <c r="J85" t="str">
        <f>PROPER(Table1[[#This Row],[Name]])</f>
        <v>Sam Wilson</v>
      </c>
      <c r="K85" t="str">
        <v>SALES</v>
      </c>
    </row>
    <row r="86" spans="1:11" x14ac:dyDescent="0.25">
      <c r="A86" t="s">
        <v>183</v>
      </c>
      <c r="B86" t="s">
        <v>25</v>
      </c>
      <c r="C86" t="s">
        <v>42</v>
      </c>
      <c r="D86" t="s">
        <v>35</v>
      </c>
      <c r="E86">
        <v>44682</v>
      </c>
      <c r="F86" s="2">
        <v>42596</v>
      </c>
      <c r="G86">
        <v>4</v>
      </c>
      <c r="H86" t="s">
        <v>36</v>
      </c>
      <c r="I86" t="s">
        <v>112</v>
      </c>
      <c r="J86" t="str">
        <f>PROPER(Table1[[#This Row],[Name]])</f>
        <v>John Doe</v>
      </c>
      <c r="K86" t="str">
        <v>MARKETING</v>
      </c>
    </row>
    <row r="87" spans="1:11" x14ac:dyDescent="0.25">
      <c r="A87" t="s">
        <v>184</v>
      </c>
      <c r="B87" t="s">
        <v>41</v>
      </c>
      <c r="C87" t="s">
        <v>10</v>
      </c>
      <c r="E87">
        <v>35163</v>
      </c>
      <c r="F87" s="2">
        <v>42603</v>
      </c>
      <c r="G87">
        <v>5</v>
      </c>
      <c r="H87" t="s">
        <v>19</v>
      </c>
      <c r="I87" t="s">
        <v>185</v>
      </c>
      <c r="J87" t="str">
        <f>PROPER(Table1[[#This Row],[Name]])</f>
        <v>Chris Lee</v>
      </c>
      <c r="K87" t="str">
        <v>FINANCE</v>
      </c>
    </row>
    <row r="88" spans="1:11" x14ac:dyDescent="0.25">
      <c r="A88" t="s">
        <v>186</v>
      </c>
      <c r="B88" t="s">
        <v>41</v>
      </c>
      <c r="C88" t="s">
        <v>34</v>
      </c>
      <c r="D88" t="s">
        <v>35</v>
      </c>
      <c r="E88">
        <v>33483</v>
      </c>
      <c r="F88" s="2">
        <v>42610</v>
      </c>
      <c r="G88">
        <v>4</v>
      </c>
      <c r="H88" t="s">
        <v>28</v>
      </c>
      <c r="I88" t="s">
        <v>187</v>
      </c>
      <c r="J88" t="str">
        <f>PROPER(Table1[[#This Row],[Name]])</f>
        <v>Chris Lee</v>
      </c>
      <c r="K88" t="str">
        <v>IT</v>
      </c>
    </row>
    <row r="89" spans="1:11" x14ac:dyDescent="0.25">
      <c r="A89" t="s">
        <v>188</v>
      </c>
      <c r="B89" t="s">
        <v>39</v>
      </c>
      <c r="C89" t="s">
        <v>17</v>
      </c>
      <c r="D89" t="s">
        <v>18</v>
      </c>
      <c r="E89">
        <v>55303</v>
      </c>
      <c r="F89" s="2">
        <v>42617</v>
      </c>
      <c r="G89">
        <v>4</v>
      </c>
      <c r="H89" t="s">
        <v>28</v>
      </c>
      <c r="I89" t="s">
        <v>77</v>
      </c>
      <c r="J89" t="str">
        <f>PROPER(Table1[[#This Row],[Name]])</f>
        <v>Sam Wilson</v>
      </c>
      <c r="K89" t="str">
        <v>HR</v>
      </c>
    </row>
    <row r="90" spans="1:11" x14ac:dyDescent="0.25">
      <c r="A90" t="s">
        <v>189</v>
      </c>
      <c r="B90" t="s">
        <v>41</v>
      </c>
      <c r="C90" t="s">
        <v>34</v>
      </c>
      <c r="E90">
        <v>63434</v>
      </c>
      <c r="F90" s="2">
        <v>42624</v>
      </c>
      <c r="G90">
        <v>3</v>
      </c>
      <c r="I90" t="s">
        <v>190</v>
      </c>
      <c r="J90" t="str">
        <f>PROPER(Table1[[#This Row],[Name]])</f>
        <v>Chris Lee</v>
      </c>
      <c r="K90" t="str">
        <v>IT</v>
      </c>
    </row>
    <row r="91" spans="1:11" x14ac:dyDescent="0.25">
      <c r="A91" t="s">
        <v>191</v>
      </c>
      <c r="B91" t="s">
        <v>31</v>
      </c>
      <c r="D91" t="s">
        <v>64</v>
      </c>
      <c r="E91">
        <v>38830</v>
      </c>
      <c r="F91" s="2">
        <v>42631</v>
      </c>
      <c r="G91">
        <v>3</v>
      </c>
      <c r="H91" t="s">
        <v>19</v>
      </c>
      <c r="I91" t="s">
        <v>77</v>
      </c>
      <c r="J91" t="str">
        <f>PROPER(Table1[[#This Row],[Name]])</f>
        <v>Jane Smith</v>
      </c>
      <c r="K91" t="str">
        <v/>
      </c>
    </row>
    <row r="92" spans="1:11" x14ac:dyDescent="0.25">
      <c r="A92" t="s">
        <v>192</v>
      </c>
      <c r="C92" t="s">
        <v>42</v>
      </c>
      <c r="D92" t="s">
        <v>47</v>
      </c>
      <c r="E92">
        <v>50741</v>
      </c>
      <c r="F92" s="2">
        <v>42638</v>
      </c>
      <c r="G92">
        <v>3</v>
      </c>
      <c r="H92" t="s">
        <v>13</v>
      </c>
      <c r="I92" t="s">
        <v>160</v>
      </c>
      <c r="J92" t="str">
        <f>PROPER(Table1[[#This Row],[Name]])</f>
        <v/>
      </c>
      <c r="K92" t="str">
        <v>MARKETING</v>
      </c>
    </row>
    <row r="93" spans="1:11" x14ac:dyDescent="0.25">
      <c r="A93" t="s">
        <v>193</v>
      </c>
      <c r="B93" t="s">
        <v>22</v>
      </c>
      <c r="C93" t="s">
        <v>17</v>
      </c>
      <c r="D93" t="s">
        <v>64</v>
      </c>
      <c r="E93">
        <v>69420</v>
      </c>
      <c r="F93" s="2">
        <v>42645</v>
      </c>
      <c r="G93">
        <v>1</v>
      </c>
      <c r="H93" t="s">
        <v>28</v>
      </c>
      <c r="I93" t="s">
        <v>123</v>
      </c>
      <c r="J93" t="str">
        <f>PROPER(Table1[[#This Row],[Name]])</f>
        <v>Alice Brown</v>
      </c>
      <c r="K93" t="str">
        <v>HR</v>
      </c>
    </row>
    <row r="94" spans="1:11" x14ac:dyDescent="0.25">
      <c r="A94" t="s">
        <v>194</v>
      </c>
      <c r="B94" t="s">
        <v>31</v>
      </c>
      <c r="C94" t="s">
        <v>34</v>
      </c>
      <c r="E94">
        <v>80588</v>
      </c>
      <c r="F94" s="2">
        <v>42652</v>
      </c>
      <c r="G94">
        <v>5</v>
      </c>
      <c r="H94" t="s">
        <v>28</v>
      </c>
      <c r="I94" t="s">
        <v>104</v>
      </c>
      <c r="J94" t="str">
        <f>PROPER(Table1[[#This Row],[Name]])</f>
        <v>Jane Smith</v>
      </c>
      <c r="K94" t="str">
        <v>IT</v>
      </c>
    </row>
    <row r="95" spans="1:11" x14ac:dyDescent="0.25">
      <c r="A95" t="s">
        <v>195</v>
      </c>
      <c r="B95" t="s">
        <v>22</v>
      </c>
      <c r="D95" t="s">
        <v>27</v>
      </c>
      <c r="E95">
        <v>76238</v>
      </c>
      <c r="F95" s="2">
        <v>42659</v>
      </c>
      <c r="G95">
        <v>4</v>
      </c>
      <c r="H95" t="s">
        <v>28</v>
      </c>
      <c r="I95" t="s">
        <v>196</v>
      </c>
      <c r="J95" t="str">
        <f>PROPER(Table1[[#This Row],[Name]])</f>
        <v>Alice Brown</v>
      </c>
      <c r="K95" t="str">
        <v/>
      </c>
    </row>
    <row r="96" spans="1:11" x14ac:dyDescent="0.25">
      <c r="A96" t="s">
        <v>197</v>
      </c>
      <c r="B96" t="s">
        <v>54</v>
      </c>
      <c r="C96" t="s">
        <v>34</v>
      </c>
      <c r="D96" t="s">
        <v>35</v>
      </c>
      <c r="E96">
        <v>33264</v>
      </c>
      <c r="F96" s="2">
        <v>42666</v>
      </c>
      <c r="H96" t="s">
        <v>36</v>
      </c>
      <c r="I96" t="s">
        <v>198</v>
      </c>
      <c r="J96" t="str">
        <f>PROPER(Table1[[#This Row],[Name]])</f>
        <v>Bob Johnson</v>
      </c>
      <c r="K96" t="str">
        <v>IT</v>
      </c>
    </row>
    <row r="97" spans="1:11" x14ac:dyDescent="0.25">
      <c r="A97" t="s">
        <v>199</v>
      </c>
      <c r="B97" t="s">
        <v>22</v>
      </c>
      <c r="C97" t="s">
        <v>10</v>
      </c>
      <c r="D97" t="s">
        <v>64</v>
      </c>
      <c r="E97">
        <v>96101</v>
      </c>
      <c r="F97" s="2">
        <v>42673</v>
      </c>
      <c r="H97" t="s">
        <v>19</v>
      </c>
      <c r="I97" t="s">
        <v>200</v>
      </c>
      <c r="J97" t="str">
        <f>PROPER(Table1[[#This Row],[Name]])</f>
        <v>Alice Brown</v>
      </c>
      <c r="K97" t="str">
        <v>FINANCE</v>
      </c>
    </row>
    <row r="98" spans="1:11" x14ac:dyDescent="0.25">
      <c r="A98" t="s">
        <v>201</v>
      </c>
      <c r="B98" t="s">
        <v>31</v>
      </c>
      <c r="C98" t="s">
        <v>10</v>
      </c>
      <c r="D98" t="s">
        <v>27</v>
      </c>
      <c r="E98">
        <v>72939</v>
      </c>
      <c r="F98" s="2">
        <v>42680</v>
      </c>
      <c r="G98">
        <v>3</v>
      </c>
      <c r="I98" t="s">
        <v>202</v>
      </c>
      <c r="J98" t="str">
        <f>PROPER(Table1[[#This Row],[Name]])</f>
        <v>Jane Smith</v>
      </c>
      <c r="K98" t="str">
        <v>FINANCE</v>
      </c>
    </row>
    <row r="99" spans="1:11" x14ac:dyDescent="0.25">
      <c r="A99" t="s">
        <v>203</v>
      </c>
      <c r="B99" t="s">
        <v>39</v>
      </c>
      <c r="C99" t="s">
        <v>17</v>
      </c>
      <c r="D99" t="s">
        <v>18</v>
      </c>
      <c r="E99">
        <v>89333</v>
      </c>
      <c r="F99" s="2">
        <v>42687</v>
      </c>
      <c r="G99">
        <v>1</v>
      </c>
      <c r="H99" t="s">
        <v>28</v>
      </c>
      <c r="I99" t="s">
        <v>204</v>
      </c>
      <c r="J99" t="str">
        <f>PROPER(Table1[[#This Row],[Name]])</f>
        <v>Sam Wilson</v>
      </c>
      <c r="K99" t="str">
        <v>HR</v>
      </c>
    </row>
    <row r="100" spans="1:11" x14ac:dyDescent="0.25">
      <c r="A100" t="s">
        <v>205</v>
      </c>
      <c r="B100" t="s">
        <v>54</v>
      </c>
      <c r="C100" t="s">
        <v>34</v>
      </c>
      <c r="D100" t="s">
        <v>64</v>
      </c>
      <c r="E100">
        <v>70470</v>
      </c>
      <c r="F100" s="2">
        <v>42694</v>
      </c>
      <c r="H100" t="s">
        <v>28</v>
      </c>
      <c r="I100" t="s">
        <v>206</v>
      </c>
      <c r="J100" t="str">
        <f>PROPER(Table1[[#This Row],[Name]])</f>
        <v>Bob Johnson</v>
      </c>
      <c r="K100" t="str">
        <v>IT</v>
      </c>
    </row>
    <row r="101" spans="1:11" x14ac:dyDescent="0.25">
      <c r="A101" t="s">
        <v>207</v>
      </c>
      <c r="B101" t="s">
        <v>16</v>
      </c>
      <c r="C101" t="s">
        <v>42</v>
      </c>
      <c r="D101" t="s">
        <v>27</v>
      </c>
      <c r="E101">
        <v>70096</v>
      </c>
      <c r="F101" s="2">
        <v>42701</v>
      </c>
      <c r="G101">
        <v>4</v>
      </c>
      <c r="H101" t="s">
        <v>28</v>
      </c>
      <c r="I101" t="s">
        <v>208</v>
      </c>
      <c r="J101" t="str">
        <f>PROPER(Table1[[#This Row],[Name]])</f>
        <v>Eve Adams</v>
      </c>
      <c r="K101" t="str">
        <v>MARKETING</v>
      </c>
    </row>
    <row r="102" spans="1:11" x14ac:dyDescent="0.25">
      <c r="A102" t="s">
        <v>209</v>
      </c>
      <c r="B102" t="s">
        <v>54</v>
      </c>
      <c r="C102" t="s">
        <v>42</v>
      </c>
      <c r="D102" t="s">
        <v>11</v>
      </c>
      <c r="E102" t="s">
        <v>12</v>
      </c>
      <c r="F102" s="2">
        <v>42708</v>
      </c>
      <c r="G102">
        <v>2</v>
      </c>
      <c r="H102" t="s">
        <v>19</v>
      </c>
      <c r="I102" t="s">
        <v>210</v>
      </c>
      <c r="J102" t="str">
        <f>PROPER(Table1[[#This Row],[Name]])</f>
        <v>Bob Johnson</v>
      </c>
      <c r="K102" t="str">
        <v>MARKETING</v>
      </c>
    </row>
    <row r="103" spans="1:11" x14ac:dyDescent="0.25">
      <c r="A103" t="s">
        <v>211</v>
      </c>
      <c r="B103" t="s">
        <v>54</v>
      </c>
      <c r="C103" t="s">
        <v>34</v>
      </c>
      <c r="D103" t="s">
        <v>18</v>
      </c>
      <c r="E103">
        <v>66503</v>
      </c>
      <c r="F103" s="2">
        <v>42715</v>
      </c>
      <c r="H103" t="s">
        <v>28</v>
      </c>
      <c r="I103" t="s">
        <v>71</v>
      </c>
      <c r="J103" t="str">
        <f>PROPER(Table1[[#This Row],[Name]])</f>
        <v>Bob Johnson</v>
      </c>
      <c r="K103" t="str">
        <v>IT</v>
      </c>
    </row>
    <row r="104" spans="1:11" x14ac:dyDescent="0.25">
      <c r="A104" t="s">
        <v>212</v>
      </c>
      <c r="B104" t="s">
        <v>22</v>
      </c>
      <c r="C104" t="s">
        <v>17</v>
      </c>
      <c r="D104" t="s">
        <v>18</v>
      </c>
      <c r="E104">
        <v>42096</v>
      </c>
      <c r="F104" s="2">
        <v>42722</v>
      </c>
      <c r="H104" t="s">
        <v>36</v>
      </c>
      <c r="I104" t="s">
        <v>213</v>
      </c>
      <c r="J104" t="str">
        <f>PROPER(Table1[[#This Row],[Name]])</f>
        <v>Alice Brown</v>
      </c>
      <c r="K104" t="str">
        <v>HR</v>
      </c>
    </row>
    <row r="105" spans="1:11" x14ac:dyDescent="0.25">
      <c r="A105" t="s">
        <v>214</v>
      </c>
      <c r="B105" t="s">
        <v>22</v>
      </c>
      <c r="C105" t="s">
        <v>42</v>
      </c>
      <c r="E105">
        <v>79145</v>
      </c>
      <c r="F105" s="2">
        <v>42729</v>
      </c>
      <c r="G105">
        <v>5</v>
      </c>
      <c r="H105" t="s">
        <v>19</v>
      </c>
      <c r="I105" t="s">
        <v>118</v>
      </c>
      <c r="J105" t="str">
        <f>PROPER(Table1[[#This Row],[Name]])</f>
        <v>Alice Brown</v>
      </c>
      <c r="K105" t="str">
        <v>MARKETING</v>
      </c>
    </row>
    <row r="106" spans="1:11" x14ac:dyDescent="0.25">
      <c r="A106" t="s">
        <v>215</v>
      </c>
      <c r="B106" t="s">
        <v>31</v>
      </c>
      <c r="D106" t="s">
        <v>64</v>
      </c>
      <c r="E106">
        <v>61556</v>
      </c>
      <c r="F106" s="2">
        <v>42736</v>
      </c>
      <c r="G106">
        <v>1</v>
      </c>
      <c r="I106" t="s">
        <v>210</v>
      </c>
      <c r="J106" t="str">
        <f>PROPER(Table1[[#This Row],[Name]])</f>
        <v>Jane Smith</v>
      </c>
      <c r="K106" t="str">
        <v/>
      </c>
    </row>
    <row r="107" spans="1:11" x14ac:dyDescent="0.25">
      <c r="A107" t="s">
        <v>216</v>
      </c>
      <c r="C107" t="s">
        <v>17</v>
      </c>
      <c r="D107" t="s">
        <v>47</v>
      </c>
      <c r="E107">
        <v>87963</v>
      </c>
      <c r="F107" s="2">
        <v>42743</v>
      </c>
      <c r="G107">
        <v>3</v>
      </c>
      <c r="H107" t="s">
        <v>19</v>
      </c>
      <c r="I107" t="s">
        <v>14</v>
      </c>
      <c r="J107" t="str">
        <f>PROPER(Table1[[#This Row],[Name]])</f>
        <v/>
      </c>
      <c r="K107" t="str">
        <v>HR</v>
      </c>
    </row>
    <row r="108" spans="1:11" x14ac:dyDescent="0.25">
      <c r="A108" t="s">
        <v>217</v>
      </c>
      <c r="B108" t="s">
        <v>16</v>
      </c>
      <c r="C108" t="s">
        <v>34</v>
      </c>
      <c r="E108">
        <v>48325</v>
      </c>
      <c r="F108" s="2">
        <v>42750</v>
      </c>
      <c r="H108" t="s">
        <v>28</v>
      </c>
      <c r="I108" t="s">
        <v>218</v>
      </c>
      <c r="J108" t="str">
        <f>PROPER(Table1[[#This Row],[Name]])</f>
        <v>Eve Adams</v>
      </c>
      <c r="K108" t="str">
        <v>IT</v>
      </c>
    </row>
    <row r="109" spans="1:11" x14ac:dyDescent="0.25">
      <c r="A109" t="s">
        <v>219</v>
      </c>
      <c r="B109" t="s">
        <v>39</v>
      </c>
      <c r="C109" t="s">
        <v>42</v>
      </c>
      <c r="D109" t="s">
        <v>64</v>
      </c>
      <c r="E109">
        <v>86412</v>
      </c>
      <c r="F109" s="2">
        <v>42757</v>
      </c>
      <c r="G109">
        <v>2</v>
      </c>
      <c r="H109" t="s">
        <v>36</v>
      </c>
      <c r="I109" t="s">
        <v>75</v>
      </c>
      <c r="J109" t="str">
        <f>PROPER(Table1[[#This Row],[Name]])</f>
        <v>Sam Wilson</v>
      </c>
      <c r="K109" t="str">
        <v>MARKETING</v>
      </c>
    </row>
    <row r="110" spans="1:11" x14ac:dyDescent="0.25">
      <c r="A110" t="s">
        <v>220</v>
      </c>
      <c r="B110" t="s">
        <v>39</v>
      </c>
      <c r="C110" t="s">
        <v>17</v>
      </c>
      <c r="E110">
        <v>66761</v>
      </c>
      <c r="F110" s="2">
        <v>42764</v>
      </c>
      <c r="G110">
        <v>1</v>
      </c>
      <c r="I110" t="s">
        <v>221</v>
      </c>
      <c r="J110" t="str">
        <f>PROPER(Table1[[#This Row],[Name]])</f>
        <v>Sam Wilson</v>
      </c>
      <c r="K110" t="str">
        <v>HR</v>
      </c>
    </row>
    <row r="111" spans="1:11" x14ac:dyDescent="0.25">
      <c r="A111" t="s">
        <v>222</v>
      </c>
      <c r="B111" t="s">
        <v>31</v>
      </c>
      <c r="D111" t="s">
        <v>35</v>
      </c>
      <c r="E111">
        <v>88850</v>
      </c>
      <c r="F111" s="2">
        <v>42771</v>
      </c>
      <c r="G111">
        <v>1</v>
      </c>
      <c r="H111" t="s">
        <v>36</v>
      </c>
      <c r="I111" t="s">
        <v>223</v>
      </c>
      <c r="J111" t="str">
        <f>PROPER(Table1[[#This Row],[Name]])</f>
        <v>Jane Smith</v>
      </c>
      <c r="K111" t="str">
        <v/>
      </c>
    </row>
    <row r="112" spans="1:11" x14ac:dyDescent="0.25">
      <c r="A112" t="s">
        <v>224</v>
      </c>
      <c r="B112" t="s">
        <v>41</v>
      </c>
      <c r="C112" t="s">
        <v>26</v>
      </c>
      <c r="D112" t="s">
        <v>35</v>
      </c>
      <c r="E112">
        <v>31293</v>
      </c>
      <c r="G112">
        <v>2</v>
      </c>
      <c r="H112" t="s">
        <v>36</v>
      </c>
      <c r="I112" t="s">
        <v>225</v>
      </c>
      <c r="J112" t="str">
        <f>PROPER(Table1[[#This Row],[Name]])</f>
        <v>Chris Lee</v>
      </c>
      <c r="K112" t="str">
        <v>SALES</v>
      </c>
    </row>
    <row r="113" spans="1:11" x14ac:dyDescent="0.25">
      <c r="A113" t="s">
        <v>226</v>
      </c>
      <c r="B113" t="s">
        <v>41</v>
      </c>
      <c r="C113" t="s">
        <v>34</v>
      </c>
      <c r="D113" t="s">
        <v>27</v>
      </c>
      <c r="E113">
        <v>34306</v>
      </c>
      <c r="F113" s="2">
        <v>42785</v>
      </c>
      <c r="G113">
        <v>5</v>
      </c>
      <c r="H113" t="s">
        <v>36</v>
      </c>
      <c r="I113" t="s">
        <v>157</v>
      </c>
      <c r="J113" t="str">
        <f>PROPER(Table1[[#This Row],[Name]])</f>
        <v>Chris Lee</v>
      </c>
      <c r="K113" t="str">
        <v>IT</v>
      </c>
    </row>
    <row r="114" spans="1:11" x14ac:dyDescent="0.25">
      <c r="A114" t="s">
        <v>227</v>
      </c>
      <c r="B114" t="s">
        <v>16</v>
      </c>
      <c r="C114" t="s">
        <v>10</v>
      </c>
      <c r="D114" t="s">
        <v>35</v>
      </c>
      <c r="E114">
        <v>78330</v>
      </c>
      <c r="F114" s="2">
        <v>42792</v>
      </c>
      <c r="H114" t="s">
        <v>19</v>
      </c>
      <c r="I114" t="s">
        <v>208</v>
      </c>
      <c r="J114" t="str">
        <f>PROPER(Table1[[#This Row],[Name]])</f>
        <v>Eve Adams</v>
      </c>
      <c r="K114" t="str">
        <v>FINANCE</v>
      </c>
    </row>
    <row r="115" spans="1:11" x14ac:dyDescent="0.25">
      <c r="A115" t="s">
        <v>228</v>
      </c>
      <c r="B115" t="s">
        <v>22</v>
      </c>
      <c r="C115" t="s">
        <v>34</v>
      </c>
      <c r="D115" t="s">
        <v>27</v>
      </c>
      <c r="E115">
        <v>47653</v>
      </c>
      <c r="F115" s="2">
        <v>42799</v>
      </c>
      <c r="G115">
        <v>1</v>
      </c>
      <c r="H115" t="s">
        <v>28</v>
      </c>
      <c r="I115" t="s">
        <v>229</v>
      </c>
      <c r="J115" t="str">
        <f>PROPER(Table1[[#This Row],[Name]])</f>
        <v>Alice Brown</v>
      </c>
      <c r="K115" t="str">
        <v>IT</v>
      </c>
    </row>
    <row r="116" spans="1:11" x14ac:dyDescent="0.25">
      <c r="A116" t="s">
        <v>230</v>
      </c>
      <c r="B116" t="s">
        <v>16</v>
      </c>
      <c r="C116" t="s">
        <v>42</v>
      </c>
      <c r="D116" t="s">
        <v>47</v>
      </c>
      <c r="E116">
        <v>44627</v>
      </c>
      <c r="F116" s="2">
        <v>42806</v>
      </c>
      <c r="G116">
        <v>4</v>
      </c>
      <c r="I116" t="s">
        <v>149</v>
      </c>
      <c r="J116" t="str">
        <f>PROPER(Table1[[#This Row],[Name]])</f>
        <v>Eve Adams</v>
      </c>
      <c r="K116" t="str">
        <v>MARKETING</v>
      </c>
    </row>
    <row r="117" spans="1:11" x14ac:dyDescent="0.25">
      <c r="A117" t="s">
        <v>231</v>
      </c>
      <c r="B117" t="s">
        <v>54</v>
      </c>
      <c r="C117" t="s">
        <v>17</v>
      </c>
      <c r="D117" t="s">
        <v>18</v>
      </c>
      <c r="E117">
        <v>92343</v>
      </c>
      <c r="F117" s="2">
        <v>42813</v>
      </c>
      <c r="G117">
        <v>4</v>
      </c>
      <c r="H117" t="s">
        <v>36</v>
      </c>
      <c r="I117" t="s">
        <v>77</v>
      </c>
      <c r="J117" t="str">
        <f>PROPER(Table1[[#This Row],[Name]])</f>
        <v>Bob Johnson</v>
      </c>
      <c r="K117" t="str">
        <v>HR</v>
      </c>
    </row>
    <row r="118" spans="1:11" x14ac:dyDescent="0.25">
      <c r="A118" t="s">
        <v>232</v>
      </c>
      <c r="B118" t="s">
        <v>54</v>
      </c>
      <c r="C118" t="s">
        <v>42</v>
      </c>
      <c r="D118" t="s">
        <v>64</v>
      </c>
      <c r="E118">
        <v>38837</v>
      </c>
      <c r="F118" s="2">
        <v>42820</v>
      </c>
      <c r="G118">
        <v>5</v>
      </c>
      <c r="H118" t="s">
        <v>36</v>
      </c>
      <c r="I118" t="s">
        <v>157</v>
      </c>
      <c r="J118" t="str">
        <f>PROPER(Table1[[#This Row],[Name]])</f>
        <v>Bob Johnson</v>
      </c>
      <c r="K118" t="str">
        <v>MARKETING</v>
      </c>
    </row>
    <row r="119" spans="1:11" x14ac:dyDescent="0.25">
      <c r="A119" t="s">
        <v>233</v>
      </c>
      <c r="B119" t="s">
        <v>54</v>
      </c>
      <c r="C119" t="s">
        <v>42</v>
      </c>
      <c r="E119">
        <v>73483</v>
      </c>
      <c r="F119" s="2">
        <v>42827</v>
      </c>
      <c r="G119">
        <v>1</v>
      </c>
      <c r="I119" t="s">
        <v>234</v>
      </c>
      <c r="J119" t="str">
        <f>PROPER(Table1[[#This Row],[Name]])</f>
        <v>Bob Johnson</v>
      </c>
      <c r="K119" t="str">
        <v>MARKETING</v>
      </c>
    </row>
    <row r="120" spans="1:11" x14ac:dyDescent="0.25">
      <c r="A120" t="s">
        <v>235</v>
      </c>
      <c r="B120" t="s">
        <v>41</v>
      </c>
      <c r="C120" t="s">
        <v>26</v>
      </c>
      <c r="D120" t="s">
        <v>35</v>
      </c>
      <c r="E120">
        <v>95032</v>
      </c>
      <c r="F120" s="2">
        <v>42834</v>
      </c>
      <c r="G120">
        <v>3</v>
      </c>
      <c r="I120" t="s">
        <v>236</v>
      </c>
      <c r="J120" t="str">
        <f>PROPER(Table1[[#This Row],[Name]])</f>
        <v>Chris Lee</v>
      </c>
      <c r="K120" t="str">
        <v>SALES</v>
      </c>
    </row>
    <row r="121" spans="1:11" x14ac:dyDescent="0.25">
      <c r="A121" t="s">
        <v>237</v>
      </c>
      <c r="B121" t="s">
        <v>16</v>
      </c>
      <c r="C121" t="s">
        <v>26</v>
      </c>
      <c r="D121" t="s">
        <v>64</v>
      </c>
      <c r="E121">
        <v>44358</v>
      </c>
      <c r="F121" s="2">
        <v>42841</v>
      </c>
      <c r="H121" t="s">
        <v>36</v>
      </c>
      <c r="I121" t="s">
        <v>71</v>
      </c>
      <c r="J121" t="str">
        <f>PROPER(Table1[[#This Row],[Name]])</f>
        <v>Eve Adams</v>
      </c>
      <c r="K121" t="str">
        <v>SALES</v>
      </c>
    </row>
    <row r="122" spans="1:11" x14ac:dyDescent="0.25">
      <c r="A122" t="s">
        <v>238</v>
      </c>
      <c r="C122" t="s">
        <v>34</v>
      </c>
      <c r="D122" t="s">
        <v>27</v>
      </c>
      <c r="E122" t="s">
        <v>12</v>
      </c>
      <c r="G122">
        <v>5</v>
      </c>
      <c r="H122" t="s">
        <v>13</v>
      </c>
      <c r="I122" t="s">
        <v>239</v>
      </c>
      <c r="J122" t="str">
        <f>PROPER(Table1[[#This Row],[Name]])</f>
        <v/>
      </c>
      <c r="K122" t="str">
        <v>IT</v>
      </c>
    </row>
    <row r="123" spans="1:11" x14ac:dyDescent="0.25">
      <c r="A123" t="s">
        <v>240</v>
      </c>
      <c r="B123" t="s">
        <v>41</v>
      </c>
      <c r="C123" t="s">
        <v>26</v>
      </c>
      <c r="D123" t="s">
        <v>27</v>
      </c>
      <c r="E123">
        <v>45676</v>
      </c>
      <c r="F123" s="2">
        <v>42855</v>
      </c>
      <c r="G123">
        <v>2</v>
      </c>
      <c r="I123" t="s">
        <v>241</v>
      </c>
      <c r="J123" t="str">
        <f>PROPER(Table1[[#This Row],[Name]])</f>
        <v>Chris Lee</v>
      </c>
      <c r="K123" t="str">
        <v>SALES</v>
      </c>
    </row>
    <row r="124" spans="1:11" x14ac:dyDescent="0.25">
      <c r="A124" t="s">
        <v>242</v>
      </c>
      <c r="B124" t="s">
        <v>54</v>
      </c>
      <c r="C124" t="s">
        <v>26</v>
      </c>
      <c r="D124" t="s">
        <v>18</v>
      </c>
      <c r="E124">
        <v>52036</v>
      </c>
      <c r="F124" s="2">
        <v>42862</v>
      </c>
      <c r="G124">
        <v>3</v>
      </c>
      <c r="H124" t="s">
        <v>28</v>
      </c>
      <c r="I124" t="s">
        <v>243</v>
      </c>
      <c r="J124" t="str">
        <f>PROPER(Table1[[#This Row],[Name]])</f>
        <v>Bob Johnson</v>
      </c>
      <c r="K124" t="str">
        <v>SALES</v>
      </c>
    </row>
    <row r="125" spans="1:11" x14ac:dyDescent="0.25">
      <c r="A125" t="s">
        <v>244</v>
      </c>
      <c r="B125" t="s">
        <v>31</v>
      </c>
      <c r="D125" t="s">
        <v>18</v>
      </c>
      <c r="E125">
        <v>30357</v>
      </c>
      <c r="F125" s="2">
        <v>42869</v>
      </c>
      <c r="G125">
        <v>5</v>
      </c>
      <c r="H125" t="s">
        <v>28</v>
      </c>
      <c r="I125" t="s">
        <v>182</v>
      </c>
      <c r="J125" t="str">
        <f>PROPER(Table1[[#This Row],[Name]])</f>
        <v>Jane Smith</v>
      </c>
      <c r="K125" t="str">
        <v/>
      </c>
    </row>
    <row r="126" spans="1:11" x14ac:dyDescent="0.25">
      <c r="A126" t="s">
        <v>245</v>
      </c>
      <c r="B126" t="s">
        <v>25</v>
      </c>
      <c r="C126" t="s">
        <v>34</v>
      </c>
      <c r="E126">
        <v>60034</v>
      </c>
      <c r="F126" s="2">
        <v>42876</v>
      </c>
      <c r="G126">
        <v>1</v>
      </c>
      <c r="H126" t="s">
        <v>36</v>
      </c>
      <c r="I126" t="s">
        <v>246</v>
      </c>
      <c r="J126" t="str">
        <f>PROPER(Table1[[#This Row],[Name]])</f>
        <v>John Doe</v>
      </c>
      <c r="K126" t="str">
        <v>IT</v>
      </c>
    </row>
    <row r="127" spans="1:11" x14ac:dyDescent="0.25">
      <c r="A127" t="s">
        <v>247</v>
      </c>
      <c r="B127" t="s">
        <v>25</v>
      </c>
      <c r="C127" t="s">
        <v>10</v>
      </c>
      <c r="D127" t="s">
        <v>11</v>
      </c>
      <c r="E127">
        <v>90019</v>
      </c>
      <c r="F127" s="2">
        <v>42883</v>
      </c>
      <c r="G127">
        <v>5</v>
      </c>
      <c r="I127" t="s">
        <v>248</v>
      </c>
      <c r="J127" t="str">
        <f>PROPER(Table1[[#This Row],[Name]])</f>
        <v>John Doe</v>
      </c>
      <c r="K127" t="str">
        <v>FINANCE</v>
      </c>
    </row>
    <row r="128" spans="1:11" x14ac:dyDescent="0.25">
      <c r="A128" t="s">
        <v>249</v>
      </c>
      <c r="B128" t="s">
        <v>54</v>
      </c>
      <c r="D128" t="s">
        <v>18</v>
      </c>
      <c r="E128">
        <v>71494</v>
      </c>
      <c r="F128" s="2">
        <v>42890</v>
      </c>
      <c r="G128">
        <v>3</v>
      </c>
      <c r="H128" t="s">
        <v>28</v>
      </c>
      <c r="I128" t="s">
        <v>250</v>
      </c>
      <c r="J128" t="str">
        <f>PROPER(Table1[[#This Row],[Name]])</f>
        <v>Bob Johnson</v>
      </c>
      <c r="K128" t="str">
        <v/>
      </c>
    </row>
    <row r="129" spans="1:11" x14ac:dyDescent="0.25">
      <c r="A129" t="s">
        <v>251</v>
      </c>
      <c r="B129" t="s">
        <v>25</v>
      </c>
      <c r="C129" t="s">
        <v>10</v>
      </c>
      <c r="D129" t="s">
        <v>27</v>
      </c>
      <c r="E129">
        <v>91953</v>
      </c>
      <c r="F129" s="2">
        <v>42897</v>
      </c>
      <c r="G129">
        <v>2</v>
      </c>
      <c r="H129" t="s">
        <v>28</v>
      </c>
      <c r="I129" t="s">
        <v>89</v>
      </c>
      <c r="J129" t="str">
        <f>PROPER(Table1[[#This Row],[Name]])</f>
        <v>John Doe</v>
      </c>
      <c r="K129" t="str">
        <v>FINANCE</v>
      </c>
    </row>
    <row r="130" spans="1:11" x14ac:dyDescent="0.25">
      <c r="A130" t="s">
        <v>252</v>
      </c>
      <c r="B130" t="s">
        <v>41</v>
      </c>
      <c r="C130" t="s">
        <v>26</v>
      </c>
      <c r="D130" t="s">
        <v>27</v>
      </c>
      <c r="E130">
        <v>30402</v>
      </c>
      <c r="F130" s="2">
        <v>42904</v>
      </c>
      <c r="G130">
        <v>1</v>
      </c>
      <c r="I130" t="s">
        <v>253</v>
      </c>
      <c r="J130" t="str">
        <f>PROPER(Table1[[#This Row],[Name]])</f>
        <v>Chris Lee</v>
      </c>
      <c r="K130" t="str">
        <v>SALES</v>
      </c>
    </row>
    <row r="131" spans="1:11" x14ac:dyDescent="0.25">
      <c r="A131" t="s">
        <v>254</v>
      </c>
      <c r="B131" t="s">
        <v>54</v>
      </c>
      <c r="D131" t="s">
        <v>47</v>
      </c>
      <c r="E131">
        <v>62994</v>
      </c>
      <c r="F131" s="2">
        <v>42911</v>
      </c>
      <c r="I131" t="s">
        <v>114</v>
      </c>
      <c r="J131" t="str">
        <f>PROPER(Table1[[#This Row],[Name]])</f>
        <v>Bob Johnson</v>
      </c>
      <c r="K131" t="str">
        <v/>
      </c>
    </row>
    <row r="132" spans="1:11" x14ac:dyDescent="0.25">
      <c r="A132" t="s">
        <v>255</v>
      </c>
      <c r="B132" t="s">
        <v>22</v>
      </c>
      <c r="C132" t="s">
        <v>26</v>
      </c>
      <c r="D132" t="s">
        <v>35</v>
      </c>
      <c r="E132">
        <v>48289</v>
      </c>
      <c r="G132">
        <v>3</v>
      </c>
      <c r="H132" t="s">
        <v>28</v>
      </c>
      <c r="I132" t="s">
        <v>45</v>
      </c>
      <c r="J132" t="str">
        <f>PROPER(Table1[[#This Row],[Name]])</f>
        <v>Alice Brown</v>
      </c>
      <c r="K132" t="str">
        <v>SALES</v>
      </c>
    </row>
    <row r="133" spans="1:11" x14ac:dyDescent="0.25">
      <c r="A133" t="s">
        <v>256</v>
      </c>
      <c r="B133" t="s">
        <v>39</v>
      </c>
      <c r="C133" t="s">
        <v>42</v>
      </c>
      <c r="D133" t="s">
        <v>18</v>
      </c>
      <c r="E133">
        <v>34402</v>
      </c>
      <c r="F133" s="2">
        <v>42925</v>
      </c>
      <c r="G133">
        <v>3</v>
      </c>
      <c r="H133" t="s">
        <v>19</v>
      </c>
      <c r="I133" t="s">
        <v>108</v>
      </c>
      <c r="J133" t="str">
        <f>PROPER(Table1[[#This Row],[Name]])</f>
        <v>Sam Wilson</v>
      </c>
      <c r="K133" t="str">
        <v>MARKETING</v>
      </c>
    </row>
    <row r="134" spans="1:11" x14ac:dyDescent="0.25">
      <c r="A134" t="s">
        <v>257</v>
      </c>
      <c r="B134" t="s">
        <v>16</v>
      </c>
      <c r="C134" t="s">
        <v>17</v>
      </c>
      <c r="D134" t="s">
        <v>27</v>
      </c>
      <c r="E134">
        <v>38678</v>
      </c>
      <c r="F134" s="2">
        <v>42932</v>
      </c>
      <c r="G134">
        <v>3</v>
      </c>
      <c r="H134" t="s">
        <v>19</v>
      </c>
      <c r="I134" t="s">
        <v>258</v>
      </c>
      <c r="J134" t="str">
        <f>PROPER(Table1[[#This Row],[Name]])</f>
        <v>Eve Adams</v>
      </c>
      <c r="K134" t="str">
        <v>HR</v>
      </c>
    </row>
    <row r="135" spans="1:11" x14ac:dyDescent="0.25">
      <c r="A135" t="s">
        <v>259</v>
      </c>
      <c r="B135" t="s">
        <v>41</v>
      </c>
      <c r="C135" t="s">
        <v>17</v>
      </c>
      <c r="D135" t="s">
        <v>18</v>
      </c>
      <c r="E135">
        <v>45758</v>
      </c>
      <c r="F135" s="2">
        <v>42939</v>
      </c>
      <c r="G135">
        <v>3</v>
      </c>
      <c r="I135" t="s">
        <v>225</v>
      </c>
      <c r="J135" t="str">
        <f>PROPER(Table1[[#This Row],[Name]])</f>
        <v>Chris Lee</v>
      </c>
      <c r="K135" t="str">
        <v>HR</v>
      </c>
    </row>
    <row r="136" spans="1:11" x14ac:dyDescent="0.25">
      <c r="A136" t="s">
        <v>260</v>
      </c>
      <c r="B136" t="s">
        <v>16</v>
      </c>
      <c r="C136" t="s">
        <v>42</v>
      </c>
      <c r="D136" t="s">
        <v>35</v>
      </c>
      <c r="E136">
        <v>62476</v>
      </c>
      <c r="F136" s="2">
        <v>42946</v>
      </c>
      <c r="G136">
        <v>1</v>
      </c>
      <c r="H136" t="s">
        <v>19</v>
      </c>
      <c r="I136" t="s">
        <v>138</v>
      </c>
      <c r="J136" t="str">
        <f>PROPER(Table1[[#This Row],[Name]])</f>
        <v>Eve Adams</v>
      </c>
      <c r="K136" t="str">
        <v>MARKETING</v>
      </c>
    </row>
    <row r="137" spans="1:11" x14ac:dyDescent="0.25">
      <c r="A137" t="s">
        <v>261</v>
      </c>
      <c r="C137" t="s">
        <v>34</v>
      </c>
      <c r="D137" t="s">
        <v>47</v>
      </c>
      <c r="E137">
        <v>39280</v>
      </c>
      <c r="F137" s="2">
        <v>42953</v>
      </c>
      <c r="G137">
        <v>3</v>
      </c>
      <c r="H137" t="s">
        <v>36</v>
      </c>
      <c r="I137" t="s">
        <v>99</v>
      </c>
      <c r="J137" t="str">
        <f>PROPER(Table1[[#This Row],[Name]])</f>
        <v/>
      </c>
      <c r="K137" t="str">
        <v>IT</v>
      </c>
    </row>
    <row r="138" spans="1:11" x14ac:dyDescent="0.25">
      <c r="A138" t="s">
        <v>262</v>
      </c>
      <c r="B138" t="s">
        <v>31</v>
      </c>
      <c r="C138" t="s">
        <v>10</v>
      </c>
      <c r="D138" t="s">
        <v>35</v>
      </c>
      <c r="E138">
        <v>60335</v>
      </c>
      <c r="F138" s="2">
        <v>42960</v>
      </c>
      <c r="G138">
        <v>4</v>
      </c>
      <c r="H138" t="s">
        <v>19</v>
      </c>
      <c r="I138" t="s">
        <v>129</v>
      </c>
      <c r="J138" t="str">
        <f>PROPER(Table1[[#This Row],[Name]])</f>
        <v>Jane Smith</v>
      </c>
      <c r="K138" t="str">
        <v>FINANCE</v>
      </c>
    </row>
    <row r="139" spans="1:11" x14ac:dyDescent="0.25">
      <c r="A139" t="s">
        <v>263</v>
      </c>
      <c r="B139" t="s">
        <v>41</v>
      </c>
      <c r="C139" t="s">
        <v>17</v>
      </c>
      <c r="D139" t="s">
        <v>18</v>
      </c>
      <c r="E139">
        <v>84968</v>
      </c>
      <c r="F139" s="2">
        <v>42967</v>
      </c>
      <c r="I139" t="s">
        <v>264</v>
      </c>
      <c r="J139" t="str">
        <f>PROPER(Table1[[#This Row],[Name]])</f>
        <v>Chris Lee</v>
      </c>
      <c r="K139" t="str">
        <v>HR</v>
      </c>
    </row>
    <row r="140" spans="1:11" x14ac:dyDescent="0.25">
      <c r="A140" t="s">
        <v>265</v>
      </c>
      <c r="B140" t="s">
        <v>41</v>
      </c>
      <c r="C140" t="s">
        <v>42</v>
      </c>
      <c r="D140" t="s">
        <v>64</v>
      </c>
      <c r="E140">
        <v>84750</v>
      </c>
      <c r="F140" s="2">
        <v>42974</v>
      </c>
      <c r="G140">
        <v>4</v>
      </c>
      <c r="H140" t="s">
        <v>36</v>
      </c>
      <c r="I140" t="s">
        <v>60</v>
      </c>
      <c r="J140" t="str">
        <f>PROPER(Table1[[#This Row],[Name]])</f>
        <v>Chris Lee</v>
      </c>
      <c r="K140" t="str">
        <v>MARKETING</v>
      </c>
    </row>
    <row r="141" spans="1:11" x14ac:dyDescent="0.25">
      <c r="A141" t="s">
        <v>266</v>
      </c>
      <c r="B141" t="s">
        <v>54</v>
      </c>
      <c r="C141" t="s">
        <v>34</v>
      </c>
      <c r="E141">
        <v>73348</v>
      </c>
      <c r="F141" s="2">
        <v>42981</v>
      </c>
      <c r="G141">
        <v>2</v>
      </c>
      <c r="I141" t="s">
        <v>171</v>
      </c>
      <c r="J141" t="str">
        <f>PROPER(Table1[[#This Row],[Name]])</f>
        <v>Bob Johnson</v>
      </c>
      <c r="K141" t="str">
        <v>IT</v>
      </c>
    </row>
    <row r="142" spans="1:11" x14ac:dyDescent="0.25">
      <c r="A142" t="s">
        <v>267</v>
      </c>
      <c r="B142" t="s">
        <v>41</v>
      </c>
      <c r="C142" t="s">
        <v>26</v>
      </c>
      <c r="D142" t="s">
        <v>27</v>
      </c>
      <c r="E142" t="s">
        <v>12</v>
      </c>
      <c r="F142" s="2">
        <v>42988</v>
      </c>
      <c r="G142">
        <v>4</v>
      </c>
      <c r="H142" t="s">
        <v>19</v>
      </c>
      <c r="I142" t="s">
        <v>14</v>
      </c>
      <c r="J142" t="str">
        <f>PROPER(Table1[[#This Row],[Name]])</f>
        <v>Chris Lee</v>
      </c>
      <c r="K142" t="str">
        <v>SALES</v>
      </c>
    </row>
    <row r="143" spans="1:11" x14ac:dyDescent="0.25">
      <c r="A143" t="s">
        <v>268</v>
      </c>
      <c r="B143" t="s">
        <v>31</v>
      </c>
      <c r="C143" t="s">
        <v>42</v>
      </c>
      <c r="D143" t="s">
        <v>27</v>
      </c>
      <c r="E143">
        <v>66882</v>
      </c>
      <c r="F143" s="2">
        <v>42995</v>
      </c>
      <c r="G143">
        <v>5</v>
      </c>
      <c r="H143" t="s">
        <v>19</v>
      </c>
      <c r="I143" t="s">
        <v>85</v>
      </c>
      <c r="J143" t="str">
        <f>PROPER(Table1[[#This Row],[Name]])</f>
        <v>Jane Smith</v>
      </c>
      <c r="K143" t="str">
        <v>MARKETING</v>
      </c>
    </row>
    <row r="144" spans="1:11" x14ac:dyDescent="0.25">
      <c r="A144" t="s">
        <v>269</v>
      </c>
      <c r="B144" t="s">
        <v>22</v>
      </c>
      <c r="C144" t="s">
        <v>42</v>
      </c>
      <c r="E144">
        <v>86775</v>
      </c>
      <c r="F144" s="2">
        <v>43002</v>
      </c>
      <c r="G144">
        <v>3</v>
      </c>
      <c r="H144" t="s">
        <v>19</v>
      </c>
      <c r="I144" t="s">
        <v>95</v>
      </c>
      <c r="J144" t="str">
        <f>PROPER(Table1[[#This Row],[Name]])</f>
        <v>Alice Brown</v>
      </c>
      <c r="K144" t="str">
        <v>MARKETING</v>
      </c>
    </row>
    <row r="145" spans="1:11" x14ac:dyDescent="0.25">
      <c r="A145" t="s">
        <v>270</v>
      </c>
      <c r="B145" t="s">
        <v>41</v>
      </c>
      <c r="C145" t="s">
        <v>26</v>
      </c>
      <c r="D145" t="s">
        <v>47</v>
      </c>
      <c r="E145">
        <v>91620</v>
      </c>
      <c r="F145" s="2">
        <v>43009</v>
      </c>
      <c r="I145" t="s">
        <v>271</v>
      </c>
      <c r="J145" t="str">
        <f>PROPER(Table1[[#This Row],[Name]])</f>
        <v>Chris Lee</v>
      </c>
      <c r="K145" t="str">
        <v>SALES</v>
      </c>
    </row>
    <row r="146" spans="1:11" x14ac:dyDescent="0.25">
      <c r="A146" t="s">
        <v>272</v>
      </c>
      <c r="B146" t="s">
        <v>16</v>
      </c>
      <c r="E146">
        <v>94148</v>
      </c>
      <c r="F146" s="2">
        <v>43016</v>
      </c>
      <c r="G146">
        <v>2</v>
      </c>
      <c r="I146" t="s">
        <v>273</v>
      </c>
      <c r="J146" t="str">
        <f>PROPER(Table1[[#This Row],[Name]])</f>
        <v>Eve Adams</v>
      </c>
      <c r="K146" t="str">
        <v/>
      </c>
    </row>
    <row r="147" spans="1:11" x14ac:dyDescent="0.25">
      <c r="A147" t="s">
        <v>274</v>
      </c>
      <c r="B147" t="s">
        <v>39</v>
      </c>
      <c r="C147" t="s">
        <v>26</v>
      </c>
      <c r="D147" t="s">
        <v>64</v>
      </c>
      <c r="E147">
        <v>35627</v>
      </c>
      <c r="F147" s="2">
        <v>43023</v>
      </c>
      <c r="G147">
        <v>5</v>
      </c>
      <c r="H147" t="s">
        <v>36</v>
      </c>
      <c r="I147" t="s">
        <v>258</v>
      </c>
      <c r="J147" t="str">
        <f>PROPER(Table1[[#This Row],[Name]])</f>
        <v>Sam Wilson</v>
      </c>
      <c r="K147" t="str">
        <v>SALES</v>
      </c>
    </row>
    <row r="148" spans="1:11" x14ac:dyDescent="0.25">
      <c r="A148" t="s">
        <v>275</v>
      </c>
      <c r="B148" t="s">
        <v>25</v>
      </c>
      <c r="C148" t="s">
        <v>42</v>
      </c>
      <c r="D148" t="s">
        <v>27</v>
      </c>
      <c r="E148">
        <v>57141</v>
      </c>
      <c r="F148" s="2">
        <v>43030</v>
      </c>
      <c r="G148">
        <v>2</v>
      </c>
      <c r="I148" t="s">
        <v>264</v>
      </c>
      <c r="J148" t="str">
        <f>PROPER(Table1[[#This Row],[Name]])</f>
        <v>John Doe</v>
      </c>
      <c r="K148" t="str">
        <v>MARKETING</v>
      </c>
    </row>
    <row r="149" spans="1:11" x14ac:dyDescent="0.25">
      <c r="A149" t="s">
        <v>276</v>
      </c>
      <c r="B149" t="s">
        <v>54</v>
      </c>
      <c r="C149" t="s">
        <v>26</v>
      </c>
      <c r="D149" t="s">
        <v>64</v>
      </c>
      <c r="E149">
        <v>65270</v>
      </c>
      <c r="F149" s="2">
        <v>43037</v>
      </c>
      <c r="G149">
        <v>1</v>
      </c>
      <c r="I149" t="s">
        <v>277</v>
      </c>
      <c r="J149" t="str">
        <f>PROPER(Table1[[#This Row],[Name]])</f>
        <v>Bob Johnson</v>
      </c>
      <c r="K149" t="str">
        <v>SALES</v>
      </c>
    </row>
    <row r="150" spans="1:11" x14ac:dyDescent="0.25">
      <c r="A150" t="s">
        <v>278</v>
      </c>
      <c r="B150" t="s">
        <v>54</v>
      </c>
      <c r="D150" t="s">
        <v>47</v>
      </c>
      <c r="E150">
        <v>67335</v>
      </c>
      <c r="F150" s="2">
        <v>43044</v>
      </c>
      <c r="G150">
        <v>1</v>
      </c>
      <c r="H150" t="s">
        <v>19</v>
      </c>
      <c r="I150" t="s">
        <v>144</v>
      </c>
      <c r="J150" t="str">
        <f>PROPER(Table1[[#This Row],[Name]])</f>
        <v>Bob Johnson</v>
      </c>
      <c r="K150" t="str">
        <v/>
      </c>
    </row>
    <row r="151" spans="1:11" x14ac:dyDescent="0.25">
      <c r="A151" t="s">
        <v>279</v>
      </c>
      <c r="B151" t="s">
        <v>39</v>
      </c>
      <c r="C151" t="s">
        <v>42</v>
      </c>
      <c r="D151" t="s">
        <v>35</v>
      </c>
      <c r="E151">
        <v>98475</v>
      </c>
      <c r="F151" s="2">
        <v>43051</v>
      </c>
      <c r="G151">
        <v>5</v>
      </c>
      <c r="H151" t="s">
        <v>19</v>
      </c>
      <c r="I151" t="s">
        <v>280</v>
      </c>
      <c r="J151" t="str">
        <f>PROPER(Table1[[#This Row],[Name]])</f>
        <v>Sam Wilson</v>
      </c>
      <c r="K151" t="str">
        <v>MARKETING</v>
      </c>
    </row>
  </sheetData>
  <dataValidations count="2">
    <dataValidation type="list" allowBlank="1" showInputMessage="1" showErrorMessage="1" sqref="C1:C1048576" xr:uid="{7B84882C-8B5F-4784-BE2D-123C7F377DD8}">
      <formula1>$C:$C</formula1>
    </dataValidation>
    <dataValidation type="list" allowBlank="1" showInputMessage="1" showErrorMessage="1" sqref="B1:B1048576" xr:uid="{E3C65418-77B5-4117-85BE-464997F081FC}">
      <formula1>$B$2:$B$151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96913-1C05-43A4-BA72-75BE21000C8F}">
  <dimension ref="A1:I151"/>
  <sheetViews>
    <sheetView workbookViewId="0">
      <selection activeCell="K14" sqref="K14"/>
    </sheetView>
  </sheetViews>
  <sheetFormatPr defaultRowHeight="15" x14ac:dyDescent="0.25"/>
  <cols>
    <col min="1" max="1" width="14.28515625" customWidth="1"/>
    <col min="2" max="2" width="12.140625" bestFit="1" customWidth="1"/>
    <col min="3" max="3" width="13.85546875" customWidth="1"/>
    <col min="4" max="4" width="10.140625" customWidth="1"/>
    <col min="5" max="5" width="8.42578125" customWidth="1"/>
    <col min="6" max="6" width="18.28515625" bestFit="1" customWidth="1"/>
    <col min="7" max="7" width="20.5703125" customWidth="1"/>
    <col min="8" max="8" width="9.85546875" customWidth="1"/>
    <col min="9" max="9" width="22.140625" bestFit="1" customWidth="1"/>
    <col min="11" max="11" width="1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C2" t="s">
        <v>10</v>
      </c>
      <c r="D2" t="s">
        <v>11</v>
      </c>
      <c r="E2" t="s">
        <v>12</v>
      </c>
      <c r="G2">
        <v>2</v>
      </c>
      <c r="H2" t="s">
        <v>13</v>
      </c>
      <c r="I2" t="s">
        <v>14</v>
      </c>
    </row>
    <row r="3" spans="1:9" x14ac:dyDescent="0.25">
      <c r="A3" t="s">
        <v>15</v>
      </c>
      <c r="B3" t="s">
        <v>16</v>
      </c>
      <c r="C3" t="s">
        <v>17</v>
      </c>
      <c r="D3" t="s">
        <v>18</v>
      </c>
      <c r="E3">
        <v>54255</v>
      </c>
      <c r="F3" s="2">
        <v>42015</v>
      </c>
      <c r="G3">
        <v>1</v>
      </c>
      <c r="H3" t="s">
        <v>19</v>
      </c>
      <c r="I3" t="s">
        <v>20</v>
      </c>
    </row>
    <row r="4" spans="1:9" x14ac:dyDescent="0.25">
      <c r="A4" t="s">
        <v>21</v>
      </c>
      <c r="B4" t="s">
        <v>22</v>
      </c>
      <c r="C4" t="s">
        <v>10</v>
      </c>
      <c r="D4" t="s">
        <v>18</v>
      </c>
      <c r="E4">
        <v>63184</v>
      </c>
      <c r="F4" s="2">
        <v>42022</v>
      </c>
      <c r="G4">
        <v>2</v>
      </c>
      <c r="I4" t="s">
        <v>23</v>
      </c>
    </row>
    <row r="5" spans="1:9" x14ac:dyDescent="0.25">
      <c r="A5" t="s">
        <v>24</v>
      </c>
      <c r="B5" t="s">
        <v>25</v>
      </c>
      <c r="C5" t="s">
        <v>26</v>
      </c>
      <c r="D5" t="s">
        <v>27</v>
      </c>
      <c r="E5">
        <v>94406</v>
      </c>
      <c r="F5" s="2">
        <v>42029</v>
      </c>
      <c r="G5">
        <v>1</v>
      </c>
      <c r="H5" t="s">
        <v>28</v>
      </c>
      <c r="I5" t="s">
        <v>29</v>
      </c>
    </row>
    <row r="6" spans="1:9" x14ac:dyDescent="0.25">
      <c r="A6" t="s">
        <v>30</v>
      </c>
      <c r="B6" t="s">
        <v>31</v>
      </c>
      <c r="C6" t="s">
        <v>26</v>
      </c>
      <c r="D6" t="s">
        <v>18</v>
      </c>
      <c r="E6">
        <v>64120</v>
      </c>
      <c r="F6" s="2">
        <v>42036</v>
      </c>
      <c r="G6">
        <v>1</v>
      </c>
      <c r="H6" t="s">
        <v>28</v>
      </c>
      <c r="I6" t="s">
        <v>32</v>
      </c>
    </row>
    <row r="7" spans="1:9" x14ac:dyDescent="0.25">
      <c r="A7" t="s">
        <v>33</v>
      </c>
      <c r="B7" t="s">
        <v>22</v>
      </c>
      <c r="C7" t="s">
        <v>34</v>
      </c>
      <c r="D7" t="s">
        <v>35</v>
      </c>
      <c r="E7">
        <v>78421</v>
      </c>
      <c r="F7" s="2">
        <v>42043</v>
      </c>
      <c r="G7">
        <v>2</v>
      </c>
      <c r="H7" t="s">
        <v>36</v>
      </c>
      <c r="I7" t="s">
        <v>37</v>
      </c>
    </row>
    <row r="8" spans="1:9" x14ac:dyDescent="0.25">
      <c r="A8" t="s">
        <v>38</v>
      </c>
      <c r="B8" t="s">
        <v>39</v>
      </c>
      <c r="C8" t="s">
        <v>26</v>
      </c>
      <c r="E8">
        <v>67721</v>
      </c>
      <c r="F8" s="2">
        <v>42050</v>
      </c>
      <c r="H8" t="s">
        <v>28</v>
      </c>
      <c r="I8" t="s">
        <v>29</v>
      </c>
    </row>
    <row r="9" spans="1:9" x14ac:dyDescent="0.25">
      <c r="A9" t="s">
        <v>40</v>
      </c>
      <c r="B9" t="s">
        <v>41</v>
      </c>
      <c r="C9" t="s">
        <v>42</v>
      </c>
      <c r="E9">
        <v>35364</v>
      </c>
      <c r="F9" s="2">
        <v>42057</v>
      </c>
      <c r="G9">
        <v>2</v>
      </c>
      <c r="H9" t="s">
        <v>19</v>
      </c>
      <c r="I9" t="s">
        <v>43</v>
      </c>
    </row>
    <row r="10" spans="1:9" x14ac:dyDescent="0.25">
      <c r="A10" t="s">
        <v>44</v>
      </c>
      <c r="B10" t="s">
        <v>22</v>
      </c>
      <c r="C10" t="s">
        <v>34</v>
      </c>
      <c r="D10" t="s">
        <v>18</v>
      </c>
      <c r="E10">
        <v>97881</v>
      </c>
      <c r="F10" s="2">
        <v>42064</v>
      </c>
      <c r="H10" t="s">
        <v>36</v>
      </c>
      <c r="I10" t="s">
        <v>45</v>
      </c>
    </row>
    <row r="11" spans="1:9" x14ac:dyDescent="0.25">
      <c r="A11" t="s">
        <v>46</v>
      </c>
      <c r="B11" t="s">
        <v>41</v>
      </c>
      <c r="C11" t="s">
        <v>17</v>
      </c>
      <c r="D11" t="s">
        <v>47</v>
      </c>
      <c r="E11">
        <v>91846</v>
      </c>
      <c r="F11" s="2">
        <v>42071</v>
      </c>
      <c r="H11" t="s">
        <v>28</v>
      </c>
      <c r="I11" t="s">
        <v>48</v>
      </c>
    </row>
    <row r="12" spans="1:9" x14ac:dyDescent="0.25">
      <c r="A12" t="s">
        <v>49</v>
      </c>
      <c r="B12" t="s">
        <v>39</v>
      </c>
      <c r="C12" t="s">
        <v>10</v>
      </c>
      <c r="D12" t="s">
        <v>47</v>
      </c>
      <c r="E12">
        <v>64247</v>
      </c>
      <c r="F12" s="2">
        <v>42078</v>
      </c>
      <c r="G12">
        <v>1</v>
      </c>
      <c r="H12" t="s">
        <v>36</v>
      </c>
      <c r="I12" t="s">
        <v>50</v>
      </c>
    </row>
    <row r="13" spans="1:9" x14ac:dyDescent="0.25">
      <c r="A13" t="s">
        <v>51</v>
      </c>
      <c r="B13" t="s">
        <v>39</v>
      </c>
      <c r="C13" t="s">
        <v>34</v>
      </c>
      <c r="D13" t="s">
        <v>27</v>
      </c>
      <c r="E13">
        <v>91180</v>
      </c>
      <c r="F13" s="2">
        <v>42085</v>
      </c>
      <c r="G13">
        <v>5</v>
      </c>
      <c r="H13" t="s">
        <v>28</v>
      </c>
      <c r="I13" t="s">
        <v>52</v>
      </c>
    </row>
    <row r="14" spans="1:9" x14ac:dyDescent="0.25">
      <c r="A14" t="s">
        <v>53</v>
      </c>
      <c r="B14" t="s">
        <v>54</v>
      </c>
      <c r="C14" t="s">
        <v>26</v>
      </c>
      <c r="E14">
        <v>96418</v>
      </c>
      <c r="F14" s="2">
        <v>42092</v>
      </c>
      <c r="G14">
        <v>5</v>
      </c>
      <c r="H14" t="s">
        <v>28</v>
      </c>
      <c r="I14" t="s">
        <v>20</v>
      </c>
    </row>
    <row r="15" spans="1:9" x14ac:dyDescent="0.25">
      <c r="A15" t="s">
        <v>55</v>
      </c>
      <c r="B15" t="s">
        <v>39</v>
      </c>
      <c r="D15" t="s">
        <v>35</v>
      </c>
      <c r="E15">
        <v>62158</v>
      </c>
      <c r="F15" s="2">
        <v>42099</v>
      </c>
      <c r="G15">
        <v>4</v>
      </c>
      <c r="I15" t="s">
        <v>56</v>
      </c>
    </row>
    <row r="16" spans="1:9" x14ac:dyDescent="0.25">
      <c r="A16" t="s">
        <v>57</v>
      </c>
      <c r="B16" t="s">
        <v>31</v>
      </c>
      <c r="C16" t="s">
        <v>17</v>
      </c>
      <c r="E16">
        <v>59894</v>
      </c>
      <c r="F16" s="2">
        <v>42106</v>
      </c>
      <c r="G16">
        <v>2</v>
      </c>
      <c r="H16" t="s">
        <v>28</v>
      </c>
      <c r="I16" t="s">
        <v>58</v>
      </c>
    </row>
    <row r="17" spans="1:9" x14ac:dyDescent="0.25">
      <c r="A17" t="s">
        <v>59</v>
      </c>
      <c r="C17" t="s">
        <v>34</v>
      </c>
      <c r="D17" t="s">
        <v>35</v>
      </c>
      <c r="E17">
        <v>92443</v>
      </c>
      <c r="F17" s="2">
        <v>42113</v>
      </c>
      <c r="G17">
        <v>3</v>
      </c>
      <c r="H17" t="s">
        <v>19</v>
      </c>
      <c r="I17" t="s">
        <v>60</v>
      </c>
    </row>
    <row r="18" spans="1:9" x14ac:dyDescent="0.25">
      <c r="A18" t="s">
        <v>61</v>
      </c>
      <c r="B18" t="s">
        <v>54</v>
      </c>
      <c r="D18" t="s">
        <v>18</v>
      </c>
      <c r="E18">
        <v>90271</v>
      </c>
      <c r="F18" s="2">
        <v>42120</v>
      </c>
      <c r="I18" t="s">
        <v>62</v>
      </c>
    </row>
    <row r="19" spans="1:9" x14ac:dyDescent="0.25">
      <c r="A19" t="s">
        <v>63</v>
      </c>
      <c r="B19" t="s">
        <v>31</v>
      </c>
      <c r="C19" t="s">
        <v>10</v>
      </c>
      <c r="D19" t="s">
        <v>64</v>
      </c>
      <c r="E19">
        <v>41341</v>
      </c>
      <c r="F19" s="2">
        <v>42127</v>
      </c>
      <c r="G19">
        <v>1</v>
      </c>
      <c r="H19" t="s">
        <v>19</v>
      </c>
      <c r="I19" t="s">
        <v>65</v>
      </c>
    </row>
    <row r="20" spans="1:9" x14ac:dyDescent="0.25">
      <c r="A20" t="s">
        <v>66</v>
      </c>
      <c r="B20" t="s">
        <v>22</v>
      </c>
      <c r="C20" t="s">
        <v>10</v>
      </c>
      <c r="D20" t="s">
        <v>47</v>
      </c>
      <c r="E20">
        <v>73602</v>
      </c>
      <c r="F20" s="2">
        <v>42134</v>
      </c>
      <c r="I20" t="s">
        <v>67</v>
      </c>
    </row>
    <row r="21" spans="1:9" x14ac:dyDescent="0.25">
      <c r="A21" t="s">
        <v>68</v>
      </c>
      <c r="B21" t="s">
        <v>16</v>
      </c>
      <c r="D21" t="s">
        <v>35</v>
      </c>
      <c r="E21">
        <v>67531</v>
      </c>
      <c r="F21" s="2">
        <v>42141</v>
      </c>
      <c r="G21">
        <v>5</v>
      </c>
      <c r="H21" t="s">
        <v>36</v>
      </c>
      <c r="I21" t="s">
        <v>69</v>
      </c>
    </row>
    <row r="22" spans="1:9" x14ac:dyDescent="0.25">
      <c r="A22" t="s">
        <v>70</v>
      </c>
      <c r="B22" t="s">
        <v>31</v>
      </c>
      <c r="C22" t="s">
        <v>17</v>
      </c>
      <c r="D22" t="s">
        <v>27</v>
      </c>
      <c r="E22" t="s">
        <v>12</v>
      </c>
      <c r="F22" s="2">
        <v>42148</v>
      </c>
      <c r="G22">
        <v>2</v>
      </c>
      <c r="H22" t="s">
        <v>19</v>
      </c>
      <c r="I22" t="s">
        <v>71</v>
      </c>
    </row>
    <row r="23" spans="1:9" x14ac:dyDescent="0.25">
      <c r="A23" t="s">
        <v>72</v>
      </c>
      <c r="B23" t="s">
        <v>31</v>
      </c>
      <c r="C23" t="s">
        <v>17</v>
      </c>
      <c r="E23">
        <v>98922</v>
      </c>
      <c r="F23" s="2">
        <v>42155</v>
      </c>
      <c r="G23">
        <v>4</v>
      </c>
      <c r="I23" t="s">
        <v>73</v>
      </c>
    </row>
    <row r="24" spans="1:9" x14ac:dyDescent="0.25">
      <c r="A24" t="s">
        <v>74</v>
      </c>
      <c r="B24" t="s">
        <v>16</v>
      </c>
      <c r="C24" t="s">
        <v>10</v>
      </c>
      <c r="D24" t="s">
        <v>35</v>
      </c>
      <c r="E24">
        <v>38333</v>
      </c>
      <c r="F24" s="2">
        <v>42162</v>
      </c>
      <c r="G24">
        <v>5</v>
      </c>
      <c r="I24" t="s">
        <v>75</v>
      </c>
    </row>
    <row r="25" spans="1:9" x14ac:dyDescent="0.25">
      <c r="A25" t="s">
        <v>76</v>
      </c>
      <c r="B25" t="s">
        <v>22</v>
      </c>
      <c r="C25" t="s">
        <v>42</v>
      </c>
      <c r="D25" t="s">
        <v>47</v>
      </c>
      <c r="E25">
        <v>36515</v>
      </c>
      <c r="F25" s="2">
        <v>42169</v>
      </c>
      <c r="G25">
        <v>3</v>
      </c>
      <c r="H25" t="s">
        <v>28</v>
      </c>
      <c r="I25" t="s">
        <v>77</v>
      </c>
    </row>
    <row r="26" spans="1:9" x14ac:dyDescent="0.25">
      <c r="A26" t="s">
        <v>78</v>
      </c>
      <c r="B26" t="s">
        <v>39</v>
      </c>
      <c r="C26" t="s">
        <v>10</v>
      </c>
      <c r="E26">
        <v>91005</v>
      </c>
      <c r="F26" s="2">
        <v>42176</v>
      </c>
      <c r="G26">
        <v>1</v>
      </c>
      <c r="H26" t="s">
        <v>19</v>
      </c>
      <c r="I26" t="s">
        <v>79</v>
      </c>
    </row>
    <row r="27" spans="1:9" x14ac:dyDescent="0.25">
      <c r="A27" t="s">
        <v>80</v>
      </c>
      <c r="B27" t="s">
        <v>41</v>
      </c>
      <c r="D27" t="s">
        <v>11</v>
      </c>
      <c r="E27">
        <v>52272</v>
      </c>
      <c r="F27" s="2">
        <v>42183</v>
      </c>
      <c r="G27">
        <v>3</v>
      </c>
      <c r="I27" t="s">
        <v>81</v>
      </c>
    </row>
    <row r="28" spans="1:9" x14ac:dyDescent="0.25">
      <c r="A28" t="s">
        <v>82</v>
      </c>
      <c r="B28" t="s">
        <v>16</v>
      </c>
      <c r="C28" t="s">
        <v>26</v>
      </c>
      <c r="D28" t="s">
        <v>18</v>
      </c>
      <c r="E28">
        <v>76518</v>
      </c>
      <c r="F28" s="2">
        <v>42190</v>
      </c>
      <c r="G28">
        <v>2</v>
      </c>
      <c r="H28" t="s">
        <v>36</v>
      </c>
      <c r="I28" t="s">
        <v>83</v>
      </c>
    </row>
    <row r="29" spans="1:9" x14ac:dyDescent="0.25">
      <c r="A29" t="s">
        <v>84</v>
      </c>
      <c r="B29" t="s">
        <v>22</v>
      </c>
      <c r="C29" t="s">
        <v>34</v>
      </c>
      <c r="D29" t="s">
        <v>47</v>
      </c>
      <c r="E29">
        <v>41448</v>
      </c>
      <c r="F29" s="2">
        <v>42197</v>
      </c>
      <c r="G29">
        <v>3</v>
      </c>
      <c r="H29" t="s">
        <v>19</v>
      </c>
      <c r="I29" t="s">
        <v>85</v>
      </c>
    </row>
    <row r="30" spans="1:9" x14ac:dyDescent="0.25">
      <c r="A30" t="s">
        <v>86</v>
      </c>
      <c r="B30" t="s">
        <v>25</v>
      </c>
      <c r="C30" t="s">
        <v>17</v>
      </c>
      <c r="D30" t="s">
        <v>47</v>
      </c>
      <c r="E30">
        <v>49282</v>
      </c>
      <c r="F30" s="2">
        <v>42204</v>
      </c>
      <c r="G30">
        <v>2</v>
      </c>
      <c r="H30" t="s">
        <v>36</v>
      </c>
      <c r="I30" t="s">
        <v>87</v>
      </c>
    </row>
    <row r="31" spans="1:9" x14ac:dyDescent="0.25">
      <c r="A31" t="s">
        <v>88</v>
      </c>
      <c r="B31" t="s">
        <v>54</v>
      </c>
      <c r="C31" t="s">
        <v>42</v>
      </c>
      <c r="D31" t="s">
        <v>47</v>
      </c>
      <c r="E31">
        <v>92959</v>
      </c>
      <c r="F31" s="2">
        <v>42211</v>
      </c>
      <c r="G31">
        <v>5</v>
      </c>
      <c r="I31" t="s">
        <v>89</v>
      </c>
    </row>
    <row r="32" spans="1:9" x14ac:dyDescent="0.25">
      <c r="A32" t="s">
        <v>90</v>
      </c>
      <c r="C32" t="s">
        <v>42</v>
      </c>
      <c r="E32">
        <v>92259</v>
      </c>
      <c r="G32">
        <v>1</v>
      </c>
      <c r="H32" t="s">
        <v>13</v>
      </c>
      <c r="I32" t="s">
        <v>91</v>
      </c>
    </row>
    <row r="33" spans="1:9" x14ac:dyDescent="0.25">
      <c r="A33" t="s">
        <v>92</v>
      </c>
      <c r="B33" t="s">
        <v>16</v>
      </c>
      <c r="C33" t="s">
        <v>17</v>
      </c>
      <c r="D33" t="s">
        <v>18</v>
      </c>
      <c r="E33">
        <v>92299</v>
      </c>
      <c r="F33" s="2">
        <v>42225</v>
      </c>
      <c r="G33">
        <v>3</v>
      </c>
      <c r="H33" t="s">
        <v>28</v>
      </c>
      <c r="I33" t="s">
        <v>93</v>
      </c>
    </row>
    <row r="34" spans="1:9" x14ac:dyDescent="0.25">
      <c r="A34" t="s">
        <v>94</v>
      </c>
      <c r="B34" t="s">
        <v>39</v>
      </c>
      <c r="C34" t="s">
        <v>17</v>
      </c>
      <c r="E34">
        <v>95586</v>
      </c>
      <c r="F34" s="2">
        <v>42232</v>
      </c>
      <c r="G34">
        <v>3</v>
      </c>
      <c r="H34" t="s">
        <v>19</v>
      </c>
      <c r="I34" t="s">
        <v>95</v>
      </c>
    </row>
    <row r="35" spans="1:9" x14ac:dyDescent="0.25">
      <c r="A35" t="s">
        <v>96</v>
      </c>
      <c r="B35" t="s">
        <v>41</v>
      </c>
      <c r="D35" t="s">
        <v>27</v>
      </c>
      <c r="E35">
        <v>95367</v>
      </c>
      <c r="F35" s="2">
        <v>42239</v>
      </c>
      <c r="H35" t="s">
        <v>28</v>
      </c>
      <c r="I35" t="s">
        <v>97</v>
      </c>
    </row>
    <row r="36" spans="1:9" x14ac:dyDescent="0.25">
      <c r="A36" t="s">
        <v>98</v>
      </c>
      <c r="B36" t="s">
        <v>25</v>
      </c>
      <c r="C36" t="s">
        <v>26</v>
      </c>
      <c r="D36" t="s">
        <v>64</v>
      </c>
      <c r="E36">
        <v>79549</v>
      </c>
      <c r="F36" s="2">
        <v>42246</v>
      </c>
      <c r="G36">
        <v>3</v>
      </c>
      <c r="I36" t="s">
        <v>99</v>
      </c>
    </row>
    <row r="37" spans="1:9" x14ac:dyDescent="0.25">
      <c r="A37" t="s">
        <v>100</v>
      </c>
      <c r="B37" t="s">
        <v>22</v>
      </c>
      <c r="D37" t="s">
        <v>47</v>
      </c>
      <c r="E37">
        <v>54463</v>
      </c>
      <c r="F37" s="2">
        <v>42253</v>
      </c>
      <c r="G37">
        <v>4</v>
      </c>
      <c r="H37" t="s">
        <v>28</v>
      </c>
      <c r="I37" t="s">
        <v>14</v>
      </c>
    </row>
    <row r="38" spans="1:9" x14ac:dyDescent="0.25">
      <c r="A38" t="s">
        <v>101</v>
      </c>
      <c r="B38" t="s">
        <v>22</v>
      </c>
      <c r="C38" t="s">
        <v>34</v>
      </c>
      <c r="D38" t="s">
        <v>27</v>
      </c>
      <c r="E38">
        <v>89781</v>
      </c>
      <c r="F38" s="2">
        <v>42260</v>
      </c>
      <c r="H38" t="s">
        <v>36</v>
      </c>
      <c r="I38" t="s">
        <v>102</v>
      </c>
    </row>
    <row r="39" spans="1:9" x14ac:dyDescent="0.25">
      <c r="A39" t="s">
        <v>103</v>
      </c>
      <c r="B39" t="s">
        <v>22</v>
      </c>
      <c r="C39" t="s">
        <v>17</v>
      </c>
      <c r="E39">
        <v>64796</v>
      </c>
      <c r="F39" s="2">
        <v>42267</v>
      </c>
      <c r="H39" t="s">
        <v>19</v>
      </c>
      <c r="I39" t="s">
        <v>104</v>
      </c>
    </row>
    <row r="40" spans="1:9" x14ac:dyDescent="0.25">
      <c r="A40" t="s">
        <v>105</v>
      </c>
      <c r="B40" t="s">
        <v>25</v>
      </c>
      <c r="C40" t="s">
        <v>42</v>
      </c>
      <c r="D40" t="s">
        <v>47</v>
      </c>
      <c r="E40">
        <v>52093</v>
      </c>
      <c r="F40" s="2">
        <v>42274</v>
      </c>
      <c r="G40">
        <v>5</v>
      </c>
      <c r="I40" t="s">
        <v>106</v>
      </c>
    </row>
    <row r="41" spans="1:9" x14ac:dyDescent="0.25">
      <c r="A41" t="s">
        <v>107</v>
      </c>
      <c r="B41" t="s">
        <v>41</v>
      </c>
      <c r="C41" t="s">
        <v>17</v>
      </c>
      <c r="D41" t="s">
        <v>47</v>
      </c>
      <c r="E41">
        <v>48224</v>
      </c>
      <c r="F41" s="2">
        <v>42281</v>
      </c>
      <c r="G41">
        <v>3</v>
      </c>
      <c r="I41" t="s">
        <v>108</v>
      </c>
    </row>
    <row r="42" spans="1:9" x14ac:dyDescent="0.25">
      <c r="A42" t="s">
        <v>109</v>
      </c>
      <c r="B42" t="s">
        <v>54</v>
      </c>
      <c r="C42" t="s">
        <v>10</v>
      </c>
      <c r="D42" t="s">
        <v>47</v>
      </c>
      <c r="E42" t="s">
        <v>12</v>
      </c>
      <c r="G42">
        <v>4</v>
      </c>
      <c r="H42" t="s">
        <v>36</v>
      </c>
      <c r="I42" t="s">
        <v>110</v>
      </c>
    </row>
    <row r="43" spans="1:9" x14ac:dyDescent="0.25">
      <c r="A43" t="s">
        <v>111</v>
      </c>
      <c r="B43" t="s">
        <v>22</v>
      </c>
      <c r="C43" t="s">
        <v>34</v>
      </c>
      <c r="D43" t="s">
        <v>18</v>
      </c>
      <c r="E43">
        <v>33956</v>
      </c>
      <c r="F43" s="2">
        <v>42295</v>
      </c>
      <c r="I43" t="s">
        <v>112</v>
      </c>
    </row>
    <row r="44" spans="1:9" x14ac:dyDescent="0.25">
      <c r="A44" t="s">
        <v>113</v>
      </c>
      <c r="B44" t="s">
        <v>54</v>
      </c>
      <c r="D44" t="s">
        <v>64</v>
      </c>
      <c r="E44">
        <v>64913</v>
      </c>
      <c r="F44" s="2">
        <v>42302</v>
      </c>
      <c r="G44">
        <v>1</v>
      </c>
      <c r="H44" t="s">
        <v>36</v>
      </c>
      <c r="I44" t="s">
        <v>114</v>
      </c>
    </row>
    <row r="45" spans="1:9" x14ac:dyDescent="0.25">
      <c r="A45" t="s">
        <v>115</v>
      </c>
      <c r="B45" t="s">
        <v>22</v>
      </c>
      <c r="C45" t="s">
        <v>42</v>
      </c>
      <c r="D45" t="s">
        <v>64</v>
      </c>
      <c r="E45">
        <v>35326</v>
      </c>
      <c r="F45" s="2">
        <v>42309</v>
      </c>
      <c r="H45" t="s">
        <v>36</v>
      </c>
      <c r="I45" t="s">
        <v>116</v>
      </c>
    </row>
    <row r="46" spans="1:9" x14ac:dyDescent="0.25">
      <c r="A46" t="s">
        <v>117</v>
      </c>
      <c r="B46" t="s">
        <v>41</v>
      </c>
      <c r="C46" t="s">
        <v>10</v>
      </c>
      <c r="E46">
        <v>81610</v>
      </c>
      <c r="F46" s="2">
        <v>42316</v>
      </c>
      <c r="G46">
        <v>1</v>
      </c>
      <c r="I46" t="s">
        <v>118</v>
      </c>
    </row>
    <row r="47" spans="1:9" x14ac:dyDescent="0.25">
      <c r="A47" t="s">
        <v>119</v>
      </c>
      <c r="C47" t="s">
        <v>17</v>
      </c>
      <c r="E47">
        <v>58962</v>
      </c>
      <c r="F47" s="2">
        <v>42323</v>
      </c>
      <c r="G47">
        <v>3</v>
      </c>
      <c r="H47" t="s">
        <v>19</v>
      </c>
      <c r="I47" t="s">
        <v>20</v>
      </c>
    </row>
    <row r="48" spans="1:9" x14ac:dyDescent="0.25">
      <c r="A48" t="s">
        <v>120</v>
      </c>
      <c r="B48" t="s">
        <v>41</v>
      </c>
      <c r="C48" t="s">
        <v>34</v>
      </c>
      <c r="D48" t="s">
        <v>18</v>
      </c>
      <c r="E48">
        <v>92701</v>
      </c>
      <c r="F48" s="2">
        <v>42330</v>
      </c>
      <c r="G48">
        <v>3</v>
      </c>
      <c r="H48" t="s">
        <v>19</v>
      </c>
      <c r="I48" t="s">
        <v>121</v>
      </c>
    </row>
    <row r="49" spans="1:9" x14ac:dyDescent="0.25">
      <c r="A49" t="s">
        <v>122</v>
      </c>
      <c r="B49" t="s">
        <v>41</v>
      </c>
      <c r="C49" t="s">
        <v>17</v>
      </c>
      <c r="D49" t="s">
        <v>35</v>
      </c>
      <c r="E49">
        <v>58245</v>
      </c>
      <c r="F49" s="2">
        <v>42337</v>
      </c>
      <c r="G49">
        <v>4</v>
      </c>
      <c r="I49" t="s">
        <v>123</v>
      </c>
    </row>
    <row r="50" spans="1:9" x14ac:dyDescent="0.25">
      <c r="A50" t="s">
        <v>124</v>
      </c>
      <c r="B50" t="s">
        <v>25</v>
      </c>
      <c r="C50" t="s">
        <v>10</v>
      </c>
      <c r="E50">
        <v>66513</v>
      </c>
      <c r="F50" s="2">
        <v>42344</v>
      </c>
      <c r="G50">
        <v>2</v>
      </c>
      <c r="H50" t="s">
        <v>19</v>
      </c>
      <c r="I50" t="s">
        <v>37</v>
      </c>
    </row>
    <row r="51" spans="1:9" x14ac:dyDescent="0.25">
      <c r="A51" t="s">
        <v>125</v>
      </c>
      <c r="B51" t="s">
        <v>16</v>
      </c>
      <c r="C51" t="s">
        <v>17</v>
      </c>
      <c r="D51" t="s">
        <v>18</v>
      </c>
      <c r="E51">
        <v>78720</v>
      </c>
      <c r="F51" s="2">
        <v>42351</v>
      </c>
      <c r="G51">
        <v>5</v>
      </c>
      <c r="H51" t="s">
        <v>36</v>
      </c>
      <c r="I51" t="s">
        <v>110</v>
      </c>
    </row>
    <row r="52" spans="1:9" x14ac:dyDescent="0.25">
      <c r="A52" t="s">
        <v>126</v>
      </c>
      <c r="B52" t="s">
        <v>41</v>
      </c>
      <c r="D52" t="s">
        <v>11</v>
      </c>
      <c r="E52">
        <v>30686</v>
      </c>
      <c r="G52">
        <v>2</v>
      </c>
      <c r="H52" t="s">
        <v>36</v>
      </c>
      <c r="I52" t="s">
        <v>127</v>
      </c>
    </row>
    <row r="53" spans="1:9" x14ac:dyDescent="0.25">
      <c r="A53" t="s">
        <v>128</v>
      </c>
      <c r="B53" t="s">
        <v>39</v>
      </c>
      <c r="C53" t="s">
        <v>26</v>
      </c>
      <c r="D53" t="s">
        <v>35</v>
      </c>
      <c r="E53">
        <v>39423</v>
      </c>
      <c r="F53" s="2">
        <v>42365</v>
      </c>
      <c r="G53">
        <v>5</v>
      </c>
      <c r="I53" t="s">
        <v>129</v>
      </c>
    </row>
    <row r="54" spans="1:9" x14ac:dyDescent="0.25">
      <c r="A54" t="s">
        <v>130</v>
      </c>
      <c r="B54" t="s">
        <v>16</v>
      </c>
      <c r="C54" t="s">
        <v>42</v>
      </c>
      <c r="E54">
        <v>30280</v>
      </c>
      <c r="F54" s="2">
        <v>42372</v>
      </c>
      <c r="G54">
        <v>1</v>
      </c>
      <c r="I54" t="s">
        <v>131</v>
      </c>
    </row>
    <row r="55" spans="1:9" x14ac:dyDescent="0.25">
      <c r="A55" t="s">
        <v>132</v>
      </c>
      <c r="B55" t="s">
        <v>16</v>
      </c>
      <c r="C55" t="s">
        <v>10</v>
      </c>
      <c r="D55" t="s">
        <v>47</v>
      </c>
      <c r="E55">
        <v>33352</v>
      </c>
      <c r="F55" s="2">
        <v>42379</v>
      </c>
      <c r="G55">
        <v>3</v>
      </c>
      <c r="H55" t="s">
        <v>36</v>
      </c>
      <c r="I55" t="s">
        <v>71</v>
      </c>
    </row>
    <row r="56" spans="1:9" x14ac:dyDescent="0.25">
      <c r="A56" t="s">
        <v>133</v>
      </c>
      <c r="B56" t="s">
        <v>54</v>
      </c>
      <c r="C56" t="s">
        <v>42</v>
      </c>
      <c r="D56" t="s">
        <v>47</v>
      </c>
      <c r="E56">
        <v>75633</v>
      </c>
      <c r="F56" s="2">
        <v>42386</v>
      </c>
      <c r="G56">
        <v>5</v>
      </c>
      <c r="H56" t="s">
        <v>19</v>
      </c>
      <c r="I56" t="s">
        <v>134</v>
      </c>
    </row>
    <row r="57" spans="1:9" x14ac:dyDescent="0.25">
      <c r="A57" t="s">
        <v>135</v>
      </c>
      <c r="B57" t="s">
        <v>41</v>
      </c>
      <c r="D57" t="s">
        <v>27</v>
      </c>
      <c r="E57">
        <v>74815</v>
      </c>
      <c r="F57" s="2">
        <v>42393</v>
      </c>
      <c r="G57">
        <v>5</v>
      </c>
      <c r="H57" t="s">
        <v>36</v>
      </c>
      <c r="I57" t="s">
        <v>136</v>
      </c>
    </row>
    <row r="58" spans="1:9" x14ac:dyDescent="0.25">
      <c r="A58" t="s">
        <v>137</v>
      </c>
      <c r="B58" t="s">
        <v>25</v>
      </c>
      <c r="C58" t="s">
        <v>26</v>
      </c>
      <c r="D58" t="s">
        <v>64</v>
      </c>
      <c r="E58">
        <v>60011</v>
      </c>
      <c r="F58" s="2">
        <v>42400</v>
      </c>
      <c r="G58">
        <v>1</v>
      </c>
      <c r="H58" t="s">
        <v>28</v>
      </c>
      <c r="I58" t="s">
        <v>138</v>
      </c>
    </row>
    <row r="59" spans="1:9" x14ac:dyDescent="0.25">
      <c r="A59" t="s">
        <v>139</v>
      </c>
      <c r="B59" t="s">
        <v>16</v>
      </c>
      <c r="D59" t="s">
        <v>35</v>
      </c>
      <c r="E59">
        <v>96949</v>
      </c>
      <c r="F59" s="2">
        <v>42407</v>
      </c>
      <c r="G59">
        <v>3</v>
      </c>
      <c r="I59" t="s">
        <v>85</v>
      </c>
    </row>
    <row r="60" spans="1:9" x14ac:dyDescent="0.25">
      <c r="A60" t="s">
        <v>140</v>
      </c>
      <c r="B60" t="s">
        <v>39</v>
      </c>
      <c r="C60" t="s">
        <v>42</v>
      </c>
      <c r="E60">
        <v>84924</v>
      </c>
      <c r="F60" s="2">
        <v>42414</v>
      </c>
      <c r="G60">
        <v>5</v>
      </c>
      <c r="H60" t="s">
        <v>28</v>
      </c>
      <c r="I60" t="s">
        <v>141</v>
      </c>
    </row>
    <row r="61" spans="1:9" x14ac:dyDescent="0.25">
      <c r="A61" t="s">
        <v>142</v>
      </c>
      <c r="B61" t="s">
        <v>39</v>
      </c>
      <c r="C61" t="s">
        <v>10</v>
      </c>
      <c r="D61" t="s">
        <v>27</v>
      </c>
      <c r="E61">
        <v>82033</v>
      </c>
      <c r="F61" s="2">
        <v>42421</v>
      </c>
      <c r="G61">
        <v>1</v>
      </c>
      <c r="I61" t="s">
        <v>118</v>
      </c>
    </row>
    <row r="62" spans="1:9" x14ac:dyDescent="0.25">
      <c r="A62" t="s">
        <v>143</v>
      </c>
      <c r="C62" t="s">
        <v>42</v>
      </c>
      <c r="D62" t="s">
        <v>18</v>
      </c>
      <c r="E62" t="s">
        <v>12</v>
      </c>
      <c r="G62">
        <v>5</v>
      </c>
      <c r="H62" t="s">
        <v>13</v>
      </c>
      <c r="I62" t="s">
        <v>144</v>
      </c>
    </row>
    <row r="63" spans="1:9" x14ac:dyDescent="0.25">
      <c r="A63" t="s">
        <v>145</v>
      </c>
      <c r="B63" t="s">
        <v>16</v>
      </c>
      <c r="D63" t="s">
        <v>64</v>
      </c>
      <c r="E63">
        <v>31499</v>
      </c>
      <c r="F63" s="2">
        <v>42435</v>
      </c>
      <c r="G63">
        <v>2</v>
      </c>
      <c r="I63" t="s">
        <v>102</v>
      </c>
    </row>
    <row r="64" spans="1:9" x14ac:dyDescent="0.25">
      <c r="A64" t="s">
        <v>146</v>
      </c>
      <c r="B64" t="s">
        <v>41</v>
      </c>
      <c r="C64" t="s">
        <v>34</v>
      </c>
      <c r="D64" t="s">
        <v>47</v>
      </c>
      <c r="E64">
        <v>97981</v>
      </c>
      <c r="F64" s="2">
        <v>42442</v>
      </c>
      <c r="G64">
        <v>5</v>
      </c>
      <c r="H64" t="s">
        <v>36</v>
      </c>
      <c r="I64" t="s">
        <v>147</v>
      </c>
    </row>
    <row r="65" spans="1:9" x14ac:dyDescent="0.25">
      <c r="A65" t="s">
        <v>148</v>
      </c>
      <c r="B65" t="s">
        <v>16</v>
      </c>
      <c r="C65" t="s">
        <v>17</v>
      </c>
      <c r="D65" t="s">
        <v>27</v>
      </c>
      <c r="E65">
        <v>36541</v>
      </c>
      <c r="F65" s="2">
        <v>42449</v>
      </c>
      <c r="G65">
        <v>2</v>
      </c>
      <c r="H65" t="s">
        <v>19</v>
      </c>
      <c r="I65" t="s">
        <v>149</v>
      </c>
    </row>
    <row r="66" spans="1:9" x14ac:dyDescent="0.25">
      <c r="A66" t="s">
        <v>150</v>
      </c>
      <c r="B66" t="s">
        <v>25</v>
      </c>
      <c r="C66" t="s">
        <v>34</v>
      </c>
      <c r="D66" t="s">
        <v>35</v>
      </c>
      <c r="E66">
        <v>84737</v>
      </c>
      <c r="F66" s="2">
        <v>42456</v>
      </c>
      <c r="G66">
        <v>1</v>
      </c>
      <c r="H66" t="s">
        <v>28</v>
      </c>
      <c r="I66" t="s">
        <v>151</v>
      </c>
    </row>
    <row r="67" spans="1:9" x14ac:dyDescent="0.25">
      <c r="A67" t="s">
        <v>152</v>
      </c>
      <c r="B67" t="s">
        <v>39</v>
      </c>
      <c r="C67" t="s">
        <v>10</v>
      </c>
      <c r="D67" t="s">
        <v>35</v>
      </c>
      <c r="E67">
        <v>33468</v>
      </c>
      <c r="F67" s="2">
        <v>42463</v>
      </c>
      <c r="G67">
        <v>4</v>
      </c>
      <c r="H67" t="s">
        <v>28</v>
      </c>
      <c r="I67" t="s">
        <v>153</v>
      </c>
    </row>
    <row r="68" spans="1:9" x14ac:dyDescent="0.25">
      <c r="A68" t="s">
        <v>154</v>
      </c>
      <c r="B68" t="s">
        <v>39</v>
      </c>
      <c r="D68" t="s">
        <v>64</v>
      </c>
      <c r="E68">
        <v>96365</v>
      </c>
      <c r="F68" s="2">
        <v>42470</v>
      </c>
      <c r="G68">
        <v>3</v>
      </c>
      <c r="H68" t="s">
        <v>19</v>
      </c>
      <c r="I68" t="s">
        <v>155</v>
      </c>
    </row>
    <row r="69" spans="1:9" x14ac:dyDescent="0.25">
      <c r="A69" t="s">
        <v>156</v>
      </c>
      <c r="B69" t="s">
        <v>22</v>
      </c>
      <c r="C69" t="s">
        <v>26</v>
      </c>
      <c r="D69" t="s">
        <v>35</v>
      </c>
      <c r="E69">
        <v>61942</v>
      </c>
      <c r="F69" s="2">
        <v>42477</v>
      </c>
      <c r="G69">
        <v>3</v>
      </c>
      <c r="H69" t="s">
        <v>36</v>
      </c>
      <c r="I69" t="s">
        <v>157</v>
      </c>
    </row>
    <row r="70" spans="1:9" x14ac:dyDescent="0.25">
      <c r="A70" t="s">
        <v>158</v>
      </c>
      <c r="B70" t="s">
        <v>39</v>
      </c>
      <c r="C70" t="s">
        <v>10</v>
      </c>
      <c r="D70" t="s">
        <v>47</v>
      </c>
      <c r="E70">
        <v>41467</v>
      </c>
      <c r="F70" s="2">
        <v>42484</v>
      </c>
      <c r="G70">
        <v>2</v>
      </c>
      <c r="I70" t="s">
        <v>73</v>
      </c>
    </row>
    <row r="71" spans="1:9" x14ac:dyDescent="0.25">
      <c r="A71" t="s">
        <v>159</v>
      </c>
      <c r="B71" t="s">
        <v>54</v>
      </c>
      <c r="C71" t="s">
        <v>10</v>
      </c>
      <c r="D71" t="s">
        <v>35</v>
      </c>
      <c r="E71">
        <v>77096</v>
      </c>
      <c r="F71" s="2">
        <v>42491</v>
      </c>
      <c r="G71">
        <v>1</v>
      </c>
      <c r="I71" t="s">
        <v>160</v>
      </c>
    </row>
    <row r="72" spans="1:9" x14ac:dyDescent="0.25">
      <c r="A72" t="s">
        <v>161</v>
      </c>
      <c r="B72" t="s">
        <v>16</v>
      </c>
      <c r="C72" t="s">
        <v>26</v>
      </c>
      <c r="D72" t="s">
        <v>64</v>
      </c>
      <c r="E72">
        <v>69952</v>
      </c>
      <c r="F72" s="2">
        <v>42498</v>
      </c>
      <c r="G72">
        <v>5</v>
      </c>
      <c r="H72" t="s">
        <v>36</v>
      </c>
      <c r="I72" t="s">
        <v>14</v>
      </c>
    </row>
    <row r="73" spans="1:9" x14ac:dyDescent="0.25">
      <c r="A73" t="s">
        <v>162</v>
      </c>
      <c r="B73" t="s">
        <v>16</v>
      </c>
      <c r="C73" t="s">
        <v>42</v>
      </c>
      <c r="D73" t="s">
        <v>27</v>
      </c>
      <c r="E73">
        <v>85065</v>
      </c>
      <c r="F73" s="2">
        <v>42505</v>
      </c>
      <c r="G73">
        <v>3</v>
      </c>
      <c r="I73" t="s">
        <v>163</v>
      </c>
    </row>
    <row r="74" spans="1:9" x14ac:dyDescent="0.25">
      <c r="A74" t="s">
        <v>164</v>
      </c>
      <c r="B74" t="s">
        <v>54</v>
      </c>
      <c r="C74" t="s">
        <v>42</v>
      </c>
      <c r="D74" t="s">
        <v>35</v>
      </c>
      <c r="E74">
        <v>56512</v>
      </c>
      <c r="F74" s="2">
        <v>42512</v>
      </c>
      <c r="H74" t="s">
        <v>19</v>
      </c>
      <c r="I74" t="s">
        <v>48</v>
      </c>
    </row>
    <row r="75" spans="1:9" x14ac:dyDescent="0.25">
      <c r="A75" t="s">
        <v>165</v>
      </c>
      <c r="B75" t="s">
        <v>25</v>
      </c>
      <c r="C75" t="s">
        <v>26</v>
      </c>
      <c r="D75" t="s">
        <v>35</v>
      </c>
      <c r="E75">
        <v>91101</v>
      </c>
      <c r="F75" s="2">
        <v>42519</v>
      </c>
      <c r="G75">
        <v>4</v>
      </c>
      <c r="H75" t="s">
        <v>36</v>
      </c>
      <c r="I75" t="s">
        <v>147</v>
      </c>
    </row>
    <row r="76" spans="1:9" x14ac:dyDescent="0.25">
      <c r="A76" t="s">
        <v>166</v>
      </c>
      <c r="B76" t="s">
        <v>39</v>
      </c>
      <c r="D76" t="s">
        <v>18</v>
      </c>
      <c r="E76">
        <v>41243</v>
      </c>
      <c r="F76" s="2">
        <v>42526</v>
      </c>
      <c r="I76" t="s">
        <v>93</v>
      </c>
    </row>
    <row r="77" spans="1:9" x14ac:dyDescent="0.25">
      <c r="A77" t="s">
        <v>167</v>
      </c>
      <c r="C77" t="s">
        <v>26</v>
      </c>
      <c r="D77" t="s">
        <v>11</v>
      </c>
      <c r="E77">
        <v>96142</v>
      </c>
      <c r="F77" s="2">
        <v>42533</v>
      </c>
      <c r="G77">
        <v>1</v>
      </c>
      <c r="H77" t="s">
        <v>19</v>
      </c>
      <c r="I77" t="s">
        <v>168</v>
      </c>
    </row>
    <row r="78" spans="1:9" x14ac:dyDescent="0.25">
      <c r="A78" t="s">
        <v>169</v>
      </c>
      <c r="B78" t="s">
        <v>16</v>
      </c>
      <c r="C78" t="s">
        <v>34</v>
      </c>
      <c r="D78" t="s">
        <v>35</v>
      </c>
      <c r="E78">
        <v>94301</v>
      </c>
      <c r="F78" s="2">
        <v>42540</v>
      </c>
      <c r="G78">
        <v>1</v>
      </c>
      <c r="H78" t="s">
        <v>28</v>
      </c>
      <c r="I78" t="s">
        <v>118</v>
      </c>
    </row>
    <row r="79" spans="1:9" x14ac:dyDescent="0.25">
      <c r="A79" t="s">
        <v>170</v>
      </c>
      <c r="B79" t="s">
        <v>31</v>
      </c>
      <c r="D79" t="s">
        <v>47</v>
      </c>
      <c r="E79">
        <v>69166</v>
      </c>
      <c r="F79" s="2">
        <v>42547</v>
      </c>
      <c r="G79">
        <v>1</v>
      </c>
      <c r="H79" t="s">
        <v>36</v>
      </c>
      <c r="I79" t="s">
        <v>171</v>
      </c>
    </row>
    <row r="80" spans="1:9" x14ac:dyDescent="0.25">
      <c r="A80" t="s">
        <v>172</v>
      </c>
      <c r="B80" t="s">
        <v>39</v>
      </c>
      <c r="D80" t="s">
        <v>47</v>
      </c>
      <c r="E80">
        <v>78245</v>
      </c>
      <c r="F80" s="2">
        <v>42554</v>
      </c>
      <c r="G80">
        <v>2</v>
      </c>
      <c r="I80" t="s">
        <v>173</v>
      </c>
    </row>
    <row r="81" spans="1:9" x14ac:dyDescent="0.25">
      <c r="A81" t="s">
        <v>174</v>
      </c>
      <c r="B81" t="s">
        <v>41</v>
      </c>
      <c r="C81" t="s">
        <v>26</v>
      </c>
      <c r="D81" t="s">
        <v>27</v>
      </c>
      <c r="E81">
        <v>66079</v>
      </c>
      <c r="F81" s="2">
        <v>42561</v>
      </c>
      <c r="G81">
        <v>2</v>
      </c>
      <c r="H81" t="s">
        <v>19</v>
      </c>
      <c r="I81" t="s">
        <v>175</v>
      </c>
    </row>
    <row r="82" spans="1:9" x14ac:dyDescent="0.25">
      <c r="A82" t="s">
        <v>176</v>
      </c>
      <c r="B82" t="s">
        <v>16</v>
      </c>
      <c r="C82" t="s">
        <v>42</v>
      </c>
      <c r="D82" t="s">
        <v>35</v>
      </c>
      <c r="E82" t="s">
        <v>12</v>
      </c>
      <c r="I82" t="s">
        <v>87</v>
      </c>
    </row>
    <row r="83" spans="1:9" x14ac:dyDescent="0.25">
      <c r="A83" t="s">
        <v>177</v>
      </c>
      <c r="B83" t="s">
        <v>31</v>
      </c>
      <c r="C83" t="s">
        <v>26</v>
      </c>
      <c r="D83" t="s">
        <v>27</v>
      </c>
      <c r="E83">
        <v>95621</v>
      </c>
      <c r="F83" s="2">
        <v>42575</v>
      </c>
      <c r="G83">
        <v>3</v>
      </c>
      <c r="H83" t="s">
        <v>36</v>
      </c>
      <c r="I83" t="s">
        <v>178</v>
      </c>
    </row>
    <row r="84" spans="1:9" x14ac:dyDescent="0.25">
      <c r="A84" t="s">
        <v>179</v>
      </c>
      <c r="B84" t="s">
        <v>16</v>
      </c>
      <c r="C84" t="s">
        <v>34</v>
      </c>
      <c r="D84" t="s">
        <v>47</v>
      </c>
      <c r="E84">
        <v>42262</v>
      </c>
      <c r="F84" s="2">
        <v>42582</v>
      </c>
      <c r="G84">
        <v>1</v>
      </c>
      <c r="I84" t="s">
        <v>180</v>
      </c>
    </row>
    <row r="85" spans="1:9" x14ac:dyDescent="0.25">
      <c r="A85" t="s">
        <v>181</v>
      </c>
      <c r="B85" t="s">
        <v>39</v>
      </c>
      <c r="C85" t="s">
        <v>26</v>
      </c>
      <c r="D85" t="s">
        <v>35</v>
      </c>
      <c r="E85">
        <v>99621</v>
      </c>
      <c r="F85" s="2">
        <v>42589</v>
      </c>
      <c r="H85" t="s">
        <v>19</v>
      </c>
      <c r="I85" t="s">
        <v>182</v>
      </c>
    </row>
    <row r="86" spans="1:9" x14ac:dyDescent="0.25">
      <c r="A86" t="s">
        <v>183</v>
      </c>
      <c r="B86" t="s">
        <v>25</v>
      </c>
      <c r="C86" t="s">
        <v>42</v>
      </c>
      <c r="D86" t="s">
        <v>35</v>
      </c>
      <c r="E86">
        <v>44682</v>
      </c>
      <c r="F86" s="2">
        <v>42596</v>
      </c>
      <c r="G86">
        <v>4</v>
      </c>
      <c r="H86" t="s">
        <v>36</v>
      </c>
      <c r="I86" t="s">
        <v>112</v>
      </c>
    </row>
    <row r="87" spans="1:9" x14ac:dyDescent="0.25">
      <c r="A87" t="s">
        <v>184</v>
      </c>
      <c r="B87" t="s">
        <v>41</v>
      </c>
      <c r="C87" t="s">
        <v>10</v>
      </c>
      <c r="E87">
        <v>35163</v>
      </c>
      <c r="F87" s="2">
        <v>42603</v>
      </c>
      <c r="G87">
        <v>5</v>
      </c>
      <c r="H87" t="s">
        <v>19</v>
      </c>
      <c r="I87" t="s">
        <v>185</v>
      </c>
    </row>
    <row r="88" spans="1:9" x14ac:dyDescent="0.25">
      <c r="A88" t="s">
        <v>186</v>
      </c>
      <c r="B88" t="s">
        <v>41</v>
      </c>
      <c r="C88" t="s">
        <v>34</v>
      </c>
      <c r="D88" t="s">
        <v>35</v>
      </c>
      <c r="E88">
        <v>33483</v>
      </c>
      <c r="F88" s="2">
        <v>42610</v>
      </c>
      <c r="G88">
        <v>4</v>
      </c>
      <c r="H88" t="s">
        <v>28</v>
      </c>
      <c r="I88" t="s">
        <v>187</v>
      </c>
    </row>
    <row r="89" spans="1:9" x14ac:dyDescent="0.25">
      <c r="A89" t="s">
        <v>188</v>
      </c>
      <c r="B89" t="s">
        <v>39</v>
      </c>
      <c r="C89" t="s">
        <v>17</v>
      </c>
      <c r="D89" t="s">
        <v>18</v>
      </c>
      <c r="E89">
        <v>55303</v>
      </c>
      <c r="F89" s="2">
        <v>42617</v>
      </c>
      <c r="G89">
        <v>4</v>
      </c>
      <c r="H89" t="s">
        <v>28</v>
      </c>
      <c r="I89" t="s">
        <v>77</v>
      </c>
    </row>
    <row r="90" spans="1:9" x14ac:dyDescent="0.25">
      <c r="A90" t="s">
        <v>189</v>
      </c>
      <c r="B90" t="s">
        <v>41</v>
      </c>
      <c r="C90" t="s">
        <v>34</v>
      </c>
      <c r="E90">
        <v>63434</v>
      </c>
      <c r="F90" s="2">
        <v>42624</v>
      </c>
      <c r="G90">
        <v>3</v>
      </c>
      <c r="I90" t="s">
        <v>190</v>
      </c>
    </row>
    <row r="91" spans="1:9" x14ac:dyDescent="0.25">
      <c r="A91" t="s">
        <v>191</v>
      </c>
      <c r="B91" t="s">
        <v>31</v>
      </c>
      <c r="D91" t="s">
        <v>64</v>
      </c>
      <c r="E91">
        <v>38830</v>
      </c>
      <c r="F91" s="2">
        <v>42631</v>
      </c>
      <c r="G91">
        <v>3</v>
      </c>
      <c r="H91" t="s">
        <v>19</v>
      </c>
      <c r="I91" t="s">
        <v>77</v>
      </c>
    </row>
    <row r="92" spans="1:9" x14ac:dyDescent="0.25">
      <c r="A92" t="s">
        <v>192</v>
      </c>
      <c r="C92" t="s">
        <v>42</v>
      </c>
      <c r="D92" t="s">
        <v>47</v>
      </c>
      <c r="E92">
        <v>50741</v>
      </c>
      <c r="F92" s="2">
        <v>42638</v>
      </c>
      <c r="G92">
        <v>3</v>
      </c>
      <c r="H92" t="s">
        <v>13</v>
      </c>
      <c r="I92" t="s">
        <v>160</v>
      </c>
    </row>
    <row r="93" spans="1:9" x14ac:dyDescent="0.25">
      <c r="A93" t="s">
        <v>193</v>
      </c>
      <c r="B93" t="s">
        <v>22</v>
      </c>
      <c r="C93" t="s">
        <v>17</v>
      </c>
      <c r="D93" t="s">
        <v>64</v>
      </c>
      <c r="E93">
        <v>69420</v>
      </c>
      <c r="F93" s="2">
        <v>42645</v>
      </c>
      <c r="G93">
        <v>1</v>
      </c>
      <c r="H93" t="s">
        <v>28</v>
      </c>
      <c r="I93" t="s">
        <v>123</v>
      </c>
    </row>
    <row r="94" spans="1:9" x14ac:dyDescent="0.25">
      <c r="A94" t="s">
        <v>194</v>
      </c>
      <c r="B94" t="s">
        <v>31</v>
      </c>
      <c r="C94" t="s">
        <v>34</v>
      </c>
      <c r="E94">
        <v>80588</v>
      </c>
      <c r="F94" s="2">
        <v>42652</v>
      </c>
      <c r="G94">
        <v>5</v>
      </c>
      <c r="H94" t="s">
        <v>28</v>
      </c>
      <c r="I94" t="s">
        <v>104</v>
      </c>
    </row>
    <row r="95" spans="1:9" x14ac:dyDescent="0.25">
      <c r="A95" t="s">
        <v>195</v>
      </c>
      <c r="B95" t="s">
        <v>22</v>
      </c>
      <c r="D95" t="s">
        <v>27</v>
      </c>
      <c r="E95">
        <v>76238</v>
      </c>
      <c r="F95" s="2">
        <v>42659</v>
      </c>
      <c r="G95">
        <v>4</v>
      </c>
      <c r="H95" t="s">
        <v>28</v>
      </c>
      <c r="I95" t="s">
        <v>196</v>
      </c>
    </row>
    <row r="96" spans="1:9" x14ac:dyDescent="0.25">
      <c r="A96" t="s">
        <v>197</v>
      </c>
      <c r="B96" t="s">
        <v>54</v>
      </c>
      <c r="C96" t="s">
        <v>34</v>
      </c>
      <c r="D96" t="s">
        <v>35</v>
      </c>
      <c r="E96">
        <v>33264</v>
      </c>
      <c r="F96" s="2">
        <v>42666</v>
      </c>
      <c r="H96" t="s">
        <v>36</v>
      </c>
      <c r="I96" t="s">
        <v>198</v>
      </c>
    </row>
    <row r="97" spans="1:9" x14ac:dyDescent="0.25">
      <c r="A97" t="s">
        <v>199</v>
      </c>
      <c r="B97" t="s">
        <v>22</v>
      </c>
      <c r="C97" t="s">
        <v>10</v>
      </c>
      <c r="D97" t="s">
        <v>64</v>
      </c>
      <c r="E97">
        <v>96101</v>
      </c>
      <c r="F97" s="2">
        <v>42673</v>
      </c>
      <c r="H97" t="s">
        <v>19</v>
      </c>
      <c r="I97" t="s">
        <v>200</v>
      </c>
    </row>
    <row r="98" spans="1:9" x14ac:dyDescent="0.25">
      <c r="A98" t="s">
        <v>201</v>
      </c>
      <c r="B98" t="s">
        <v>31</v>
      </c>
      <c r="C98" t="s">
        <v>10</v>
      </c>
      <c r="D98" t="s">
        <v>27</v>
      </c>
      <c r="E98">
        <v>72939</v>
      </c>
      <c r="F98" s="2">
        <v>42680</v>
      </c>
      <c r="G98">
        <v>3</v>
      </c>
      <c r="I98" t="s">
        <v>202</v>
      </c>
    </row>
    <row r="99" spans="1:9" x14ac:dyDescent="0.25">
      <c r="A99" t="s">
        <v>203</v>
      </c>
      <c r="B99" t="s">
        <v>39</v>
      </c>
      <c r="C99" t="s">
        <v>17</v>
      </c>
      <c r="D99" t="s">
        <v>18</v>
      </c>
      <c r="E99">
        <v>89333</v>
      </c>
      <c r="F99" s="2">
        <v>42687</v>
      </c>
      <c r="G99">
        <v>1</v>
      </c>
      <c r="H99" t="s">
        <v>28</v>
      </c>
      <c r="I99" t="s">
        <v>204</v>
      </c>
    </row>
    <row r="100" spans="1:9" x14ac:dyDescent="0.25">
      <c r="A100" t="s">
        <v>205</v>
      </c>
      <c r="B100" t="s">
        <v>54</v>
      </c>
      <c r="C100" t="s">
        <v>34</v>
      </c>
      <c r="D100" t="s">
        <v>64</v>
      </c>
      <c r="E100">
        <v>70470</v>
      </c>
      <c r="F100" s="2">
        <v>42694</v>
      </c>
      <c r="H100" t="s">
        <v>28</v>
      </c>
      <c r="I100" t="s">
        <v>206</v>
      </c>
    </row>
    <row r="101" spans="1:9" x14ac:dyDescent="0.25">
      <c r="A101" t="s">
        <v>207</v>
      </c>
      <c r="B101" t="s">
        <v>16</v>
      </c>
      <c r="C101" t="s">
        <v>42</v>
      </c>
      <c r="D101" t="s">
        <v>27</v>
      </c>
      <c r="E101">
        <v>70096</v>
      </c>
      <c r="F101" s="2">
        <v>42701</v>
      </c>
      <c r="G101">
        <v>4</v>
      </c>
      <c r="H101" t="s">
        <v>28</v>
      </c>
      <c r="I101" t="s">
        <v>208</v>
      </c>
    </row>
    <row r="102" spans="1:9" x14ac:dyDescent="0.25">
      <c r="A102" t="s">
        <v>209</v>
      </c>
      <c r="B102" t="s">
        <v>54</v>
      </c>
      <c r="C102" t="s">
        <v>42</v>
      </c>
      <c r="D102" t="s">
        <v>11</v>
      </c>
      <c r="E102" t="s">
        <v>12</v>
      </c>
      <c r="F102" s="2">
        <v>42708</v>
      </c>
      <c r="G102">
        <v>2</v>
      </c>
      <c r="H102" t="s">
        <v>19</v>
      </c>
      <c r="I102" t="s">
        <v>210</v>
      </c>
    </row>
    <row r="103" spans="1:9" x14ac:dyDescent="0.25">
      <c r="A103" t="s">
        <v>211</v>
      </c>
      <c r="B103" t="s">
        <v>54</v>
      </c>
      <c r="C103" t="s">
        <v>34</v>
      </c>
      <c r="D103" t="s">
        <v>18</v>
      </c>
      <c r="E103">
        <v>66503</v>
      </c>
      <c r="F103" s="2">
        <v>42715</v>
      </c>
      <c r="H103" t="s">
        <v>28</v>
      </c>
      <c r="I103" t="s">
        <v>71</v>
      </c>
    </row>
    <row r="104" spans="1:9" x14ac:dyDescent="0.25">
      <c r="A104" t="s">
        <v>212</v>
      </c>
      <c r="B104" t="s">
        <v>22</v>
      </c>
      <c r="C104" t="s">
        <v>17</v>
      </c>
      <c r="D104" t="s">
        <v>18</v>
      </c>
      <c r="E104">
        <v>42096</v>
      </c>
      <c r="F104" s="2">
        <v>42722</v>
      </c>
      <c r="H104" t="s">
        <v>36</v>
      </c>
      <c r="I104" t="s">
        <v>213</v>
      </c>
    </row>
    <row r="105" spans="1:9" x14ac:dyDescent="0.25">
      <c r="A105" t="s">
        <v>214</v>
      </c>
      <c r="B105" t="s">
        <v>22</v>
      </c>
      <c r="C105" t="s">
        <v>42</v>
      </c>
      <c r="E105">
        <v>79145</v>
      </c>
      <c r="F105" s="2">
        <v>42729</v>
      </c>
      <c r="G105">
        <v>5</v>
      </c>
      <c r="H105" t="s">
        <v>19</v>
      </c>
      <c r="I105" t="s">
        <v>118</v>
      </c>
    </row>
    <row r="106" spans="1:9" x14ac:dyDescent="0.25">
      <c r="A106" t="s">
        <v>215</v>
      </c>
      <c r="B106" t="s">
        <v>31</v>
      </c>
      <c r="D106" t="s">
        <v>64</v>
      </c>
      <c r="E106">
        <v>61556</v>
      </c>
      <c r="F106" s="2">
        <v>42736</v>
      </c>
      <c r="G106">
        <v>1</v>
      </c>
      <c r="I106" t="s">
        <v>210</v>
      </c>
    </row>
    <row r="107" spans="1:9" x14ac:dyDescent="0.25">
      <c r="A107" t="s">
        <v>216</v>
      </c>
      <c r="C107" t="s">
        <v>17</v>
      </c>
      <c r="D107" t="s">
        <v>47</v>
      </c>
      <c r="E107">
        <v>87963</v>
      </c>
      <c r="F107" s="2">
        <v>42743</v>
      </c>
      <c r="G107">
        <v>3</v>
      </c>
      <c r="H107" t="s">
        <v>19</v>
      </c>
      <c r="I107" t="s">
        <v>14</v>
      </c>
    </row>
    <row r="108" spans="1:9" x14ac:dyDescent="0.25">
      <c r="A108" t="s">
        <v>217</v>
      </c>
      <c r="B108" t="s">
        <v>16</v>
      </c>
      <c r="C108" t="s">
        <v>34</v>
      </c>
      <c r="E108">
        <v>48325</v>
      </c>
      <c r="F108" s="2">
        <v>42750</v>
      </c>
      <c r="H108" t="s">
        <v>28</v>
      </c>
      <c r="I108" t="s">
        <v>218</v>
      </c>
    </row>
    <row r="109" spans="1:9" x14ac:dyDescent="0.25">
      <c r="A109" t="s">
        <v>219</v>
      </c>
      <c r="B109" t="s">
        <v>39</v>
      </c>
      <c r="C109" t="s">
        <v>42</v>
      </c>
      <c r="D109" t="s">
        <v>64</v>
      </c>
      <c r="E109">
        <v>86412</v>
      </c>
      <c r="F109" s="2">
        <v>42757</v>
      </c>
      <c r="G109">
        <v>2</v>
      </c>
      <c r="H109" t="s">
        <v>36</v>
      </c>
      <c r="I109" t="s">
        <v>75</v>
      </c>
    </row>
    <row r="110" spans="1:9" x14ac:dyDescent="0.25">
      <c r="A110" t="s">
        <v>220</v>
      </c>
      <c r="B110" t="s">
        <v>39</v>
      </c>
      <c r="C110" t="s">
        <v>17</v>
      </c>
      <c r="E110">
        <v>66761</v>
      </c>
      <c r="F110" s="2">
        <v>42764</v>
      </c>
      <c r="G110">
        <v>1</v>
      </c>
      <c r="I110" t="s">
        <v>221</v>
      </c>
    </row>
    <row r="111" spans="1:9" x14ac:dyDescent="0.25">
      <c r="A111" t="s">
        <v>222</v>
      </c>
      <c r="B111" t="s">
        <v>31</v>
      </c>
      <c r="D111" t="s">
        <v>35</v>
      </c>
      <c r="E111">
        <v>88850</v>
      </c>
      <c r="F111" s="2">
        <v>42771</v>
      </c>
      <c r="G111">
        <v>1</v>
      </c>
      <c r="H111" t="s">
        <v>36</v>
      </c>
      <c r="I111" t="s">
        <v>223</v>
      </c>
    </row>
    <row r="112" spans="1:9" x14ac:dyDescent="0.25">
      <c r="A112" t="s">
        <v>224</v>
      </c>
      <c r="B112" t="s">
        <v>41</v>
      </c>
      <c r="C112" t="s">
        <v>26</v>
      </c>
      <c r="D112" t="s">
        <v>35</v>
      </c>
      <c r="E112">
        <v>31293</v>
      </c>
      <c r="G112">
        <v>2</v>
      </c>
      <c r="H112" t="s">
        <v>36</v>
      </c>
      <c r="I112" t="s">
        <v>225</v>
      </c>
    </row>
    <row r="113" spans="1:9" x14ac:dyDescent="0.25">
      <c r="A113" t="s">
        <v>226</v>
      </c>
      <c r="B113" t="s">
        <v>41</v>
      </c>
      <c r="C113" t="s">
        <v>34</v>
      </c>
      <c r="D113" t="s">
        <v>27</v>
      </c>
      <c r="E113">
        <v>34306</v>
      </c>
      <c r="F113" s="2">
        <v>42785</v>
      </c>
      <c r="G113">
        <v>5</v>
      </c>
      <c r="H113" t="s">
        <v>36</v>
      </c>
      <c r="I113" t="s">
        <v>157</v>
      </c>
    </row>
    <row r="114" spans="1:9" x14ac:dyDescent="0.25">
      <c r="A114" t="s">
        <v>227</v>
      </c>
      <c r="B114" t="s">
        <v>16</v>
      </c>
      <c r="C114" t="s">
        <v>10</v>
      </c>
      <c r="D114" t="s">
        <v>35</v>
      </c>
      <c r="E114">
        <v>78330</v>
      </c>
      <c r="F114" s="2">
        <v>42792</v>
      </c>
      <c r="H114" t="s">
        <v>19</v>
      </c>
      <c r="I114" t="s">
        <v>208</v>
      </c>
    </row>
    <row r="115" spans="1:9" x14ac:dyDescent="0.25">
      <c r="A115" t="s">
        <v>228</v>
      </c>
      <c r="B115" t="s">
        <v>22</v>
      </c>
      <c r="C115" t="s">
        <v>34</v>
      </c>
      <c r="D115" t="s">
        <v>27</v>
      </c>
      <c r="E115">
        <v>47653</v>
      </c>
      <c r="F115" s="2">
        <v>42799</v>
      </c>
      <c r="G115">
        <v>1</v>
      </c>
      <c r="H115" t="s">
        <v>28</v>
      </c>
      <c r="I115" t="s">
        <v>229</v>
      </c>
    </row>
    <row r="116" spans="1:9" x14ac:dyDescent="0.25">
      <c r="A116" t="s">
        <v>230</v>
      </c>
      <c r="B116" t="s">
        <v>16</v>
      </c>
      <c r="C116" t="s">
        <v>42</v>
      </c>
      <c r="D116" t="s">
        <v>47</v>
      </c>
      <c r="E116">
        <v>44627</v>
      </c>
      <c r="F116" s="2">
        <v>42806</v>
      </c>
      <c r="G116">
        <v>4</v>
      </c>
      <c r="I116" t="s">
        <v>149</v>
      </c>
    </row>
    <row r="117" spans="1:9" x14ac:dyDescent="0.25">
      <c r="A117" t="s">
        <v>231</v>
      </c>
      <c r="B117" t="s">
        <v>54</v>
      </c>
      <c r="C117" t="s">
        <v>17</v>
      </c>
      <c r="D117" t="s">
        <v>18</v>
      </c>
      <c r="E117">
        <v>92343</v>
      </c>
      <c r="F117" s="2">
        <v>42813</v>
      </c>
      <c r="G117">
        <v>4</v>
      </c>
      <c r="H117" t="s">
        <v>36</v>
      </c>
      <c r="I117" t="s">
        <v>77</v>
      </c>
    </row>
    <row r="118" spans="1:9" x14ac:dyDescent="0.25">
      <c r="A118" t="s">
        <v>232</v>
      </c>
      <c r="B118" t="s">
        <v>54</v>
      </c>
      <c r="C118" t="s">
        <v>42</v>
      </c>
      <c r="D118" t="s">
        <v>64</v>
      </c>
      <c r="E118">
        <v>38837</v>
      </c>
      <c r="F118" s="2">
        <v>42820</v>
      </c>
      <c r="G118">
        <v>5</v>
      </c>
      <c r="H118" t="s">
        <v>36</v>
      </c>
      <c r="I118" t="s">
        <v>157</v>
      </c>
    </row>
    <row r="119" spans="1:9" x14ac:dyDescent="0.25">
      <c r="A119" t="s">
        <v>233</v>
      </c>
      <c r="B119" t="s">
        <v>54</v>
      </c>
      <c r="C119" t="s">
        <v>42</v>
      </c>
      <c r="E119">
        <v>73483</v>
      </c>
      <c r="F119" s="2">
        <v>42827</v>
      </c>
      <c r="G119">
        <v>1</v>
      </c>
      <c r="I119" t="s">
        <v>234</v>
      </c>
    </row>
    <row r="120" spans="1:9" x14ac:dyDescent="0.25">
      <c r="A120" t="s">
        <v>235</v>
      </c>
      <c r="B120" t="s">
        <v>41</v>
      </c>
      <c r="C120" t="s">
        <v>26</v>
      </c>
      <c r="D120" t="s">
        <v>35</v>
      </c>
      <c r="E120">
        <v>95032</v>
      </c>
      <c r="F120" s="2">
        <v>42834</v>
      </c>
      <c r="G120">
        <v>3</v>
      </c>
      <c r="I120" t="s">
        <v>236</v>
      </c>
    </row>
    <row r="121" spans="1:9" x14ac:dyDescent="0.25">
      <c r="A121" t="s">
        <v>237</v>
      </c>
      <c r="B121" t="s">
        <v>16</v>
      </c>
      <c r="C121" t="s">
        <v>26</v>
      </c>
      <c r="D121" t="s">
        <v>64</v>
      </c>
      <c r="E121">
        <v>44358</v>
      </c>
      <c r="F121" s="2">
        <v>42841</v>
      </c>
      <c r="H121" t="s">
        <v>36</v>
      </c>
      <c r="I121" t="s">
        <v>71</v>
      </c>
    </row>
    <row r="122" spans="1:9" x14ac:dyDescent="0.25">
      <c r="A122" t="s">
        <v>238</v>
      </c>
      <c r="C122" t="s">
        <v>34</v>
      </c>
      <c r="D122" t="s">
        <v>27</v>
      </c>
      <c r="E122" t="s">
        <v>12</v>
      </c>
      <c r="G122">
        <v>5</v>
      </c>
      <c r="H122" t="s">
        <v>13</v>
      </c>
      <c r="I122" t="s">
        <v>239</v>
      </c>
    </row>
    <row r="123" spans="1:9" x14ac:dyDescent="0.25">
      <c r="A123" t="s">
        <v>240</v>
      </c>
      <c r="B123" t="s">
        <v>41</v>
      </c>
      <c r="C123" t="s">
        <v>26</v>
      </c>
      <c r="D123" t="s">
        <v>27</v>
      </c>
      <c r="E123">
        <v>45676</v>
      </c>
      <c r="F123" s="2">
        <v>42855</v>
      </c>
      <c r="G123">
        <v>2</v>
      </c>
      <c r="I123" t="s">
        <v>241</v>
      </c>
    </row>
    <row r="124" spans="1:9" x14ac:dyDescent="0.25">
      <c r="A124" t="s">
        <v>242</v>
      </c>
      <c r="B124" t="s">
        <v>54</v>
      </c>
      <c r="C124" t="s">
        <v>26</v>
      </c>
      <c r="D124" t="s">
        <v>18</v>
      </c>
      <c r="E124">
        <v>52036</v>
      </c>
      <c r="F124" s="2">
        <v>42862</v>
      </c>
      <c r="G124">
        <v>3</v>
      </c>
      <c r="H124" t="s">
        <v>28</v>
      </c>
      <c r="I124" t="s">
        <v>243</v>
      </c>
    </row>
    <row r="125" spans="1:9" x14ac:dyDescent="0.25">
      <c r="A125" t="s">
        <v>244</v>
      </c>
      <c r="B125" t="s">
        <v>31</v>
      </c>
      <c r="D125" t="s">
        <v>18</v>
      </c>
      <c r="E125">
        <v>30357</v>
      </c>
      <c r="F125" s="2">
        <v>42869</v>
      </c>
      <c r="G125">
        <v>5</v>
      </c>
      <c r="H125" t="s">
        <v>28</v>
      </c>
      <c r="I125" t="s">
        <v>182</v>
      </c>
    </row>
    <row r="126" spans="1:9" x14ac:dyDescent="0.25">
      <c r="A126" t="s">
        <v>245</v>
      </c>
      <c r="B126" t="s">
        <v>25</v>
      </c>
      <c r="C126" t="s">
        <v>34</v>
      </c>
      <c r="E126">
        <v>60034</v>
      </c>
      <c r="F126" s="2">
        <v>42876</v>
      </c>
      <c r="G126">
        <v>1</v>
      </c>
      <c r="H126" t="s">
        <v>36</v>
      </c>
      <c r="I126" t="s">
        <v>246</v>
      </c>
    </row>
    <row r="127" spans="1:9" x14ac:dyDescent="0.25">
      <c r="A127" t="s">
        <v>247</v>
      </c>
      <c r="B127" t="s">
        <v>25</v>
      </c>
      <c r="C127" t="s">
        <v>10</v>
      </c>
      <c r="D127" t="s">
        <v>11</v>
      </c>
      <c r="E127">
        <v>90019</v>
      </c>
      <c r="F127" s="2">
        <v>42883</v>
      </c>
      <c r="G127">
        <v>5</v>
      </c>
      <c r="I127" t="s">
        <v>248</v>
      </c>
    </row>
    <row r="128" spans="1:9" x14ac:dyDescent="0.25">
      <c r="A128" t="s">
        <v>249</v>
      </c>
      <c r="B128" t="s">
        <v>54</v>
      </c>
      <c r="D128" t="s">
        <v>18</v>
      </c>
      <c r="E128">
        <v>71494</v>
      </c>
      <c r="F128" s="2">
        <v>42890</v>
      </c>
      <c r="G128">
        <v>3</v>
      </c>
      <c r="H128" t="s">
        <v>28</v>
      </c>
      <c r="I128" t="s">
        <v>250</v>
      </c>
    </row>
    <row r="129" spans="1:9" x14ac:dyDescent="0.25">
      <c r="A129" t="s">
        <v>251</v>
      </c>
      <c r="B129" t="s">
        <v>25</v>
      </c>
      <c r="C129" t="s">
        <v>10</v>
      </c>
      <c r="D129" t="s">
        <v>27</v>
      </c>
      <c r="E129">
        <v>91953</v>
      </c>
      <c r="F129" s="2">
        <v>42897</v>
      </c>
      <c r="G129">
        <v>2</v>
      </c>
      <c r="H129" t="s">
        <v>28</v>
      </c>
      <c r="I129" t="s">
        <v>89</v>
      </c>
    </row>
    <row r="130" spans="1:9" x14ac:dyDescent="0.25">
      <c r="A130" t="s">
        <v>252</v>
      </c>
      <c r="B130" t="s">
        <v>41</v>
      </c>
      <c r="C130" t="s">
        <v>26</v>
      </c>
      <c r="D130" t="s">
        <v>27</v>
      </c>
      <c r="E130">
        <v>30402</v>
      </c>
      <c r="F130" s="2">
        <v>42904</v>
      </c>
      <c r="G130">
        <v>1</v>
      </c>
      <c r="I130" t="s">
        <v>253</v>
      </c>
    </row>
    <row r="131" spans="1:9" x14ac:dyDescent="0.25">
      <c r="A131" t="s">
        <v>254</v>
      </c>
      <c r="B131" t="s">
        <v>54</v>
      </c>
      <c r="D131" t="s">
        <v>47</v>
      </c>
      <c r="E131">
        <v>62994</v>
      </c>
      <c r="F131" s="2">
        <v>42911</v>
      </c>
      <c r="I131" t="s">
        <v>114</v>
      </c>
    </row>
    <row r="132" spans="1:9" x14ac:dyDescent="0.25">
      <c r="A132" t="s">
        <v>255</v>
      </c>
      <c r="B132" t="s">
        <v>22</v>
      </c>
      <c r="C132" t="s">
        <v>26</v>
      </c>
      <c r="D132" t="s">
        <v>35</v>
      </c>
      <c r="E132">
        <v>48289</v>
      </c>
      <c r="G132">
        <v>3</v>
      </c>
      <c r="H132" t="s">
        <v>28</v>
      </c>
      <c r="I132" t="s">
        <v>45</v>
      </c>
    </row>
    <row r="133" spans="1:9" x14ac:dyDescent="0.25">
      <c r="A133" t="s">
        <v>256</v>
      </c>
      <c r="B133" t="s">
        <v>39</v>
      </c>
      <c r="C133" t="s">
        <v>42</v>
      </c>
      <c r="D133" t="s">
        <v>18</v>
      </c>
      <c r="E133">
        <v>34402</v>
      </c>
      <c r="F133" s="2">
        <v>42925</v>
      </c>
      <c r="G133">
        <v>3</v>
      </c>
      <c r="H133" t="s">
        <v>19</v>
      </c>
      <c r="I133" t="s">
        <v>108</v>
      </c>
    </row>
    <row r="134" spans="1:9" x14ac:dyDescent="0.25">
      <c r="A134" t="s">
        <v>257</v>
      </c>
      <c r="B134" t="s">
        <v>16</v>
      </c>
      <c r="C134" t="s">
        <v>17</v>
      </c>
      <c r="D134" t="s">
        <v>27</v>
      </c>
      <c r="E134">
        <v>38678</v>
      </c>
      <c r="F134" s="2">
        <v>42932</v>
      </c>
      <c r="G134">
        <v>3</v>
      </c>
      <c r="H134" t="s">
        <v>19</v>
      </c>
      <c r="I134" t="s">
        <v>258</v>
      </c>
    </row>
    <row r="135" spans="1:9" x14ac:dyDescent="0.25">
      <c r="A135" t="s">
        <v>259</v>
      </c>
      <c r="B135" t="s">
        <v>41</v>
      </c>
      <c r="C135" t="s">
        <v>17</v>
      </c>
      <c r="D135" t="s">
        <v>18</v>
      </c>
      <c r="E135">
        <v>45758</v>
      </c>
      <c r="F135" s="2">
        <v>42939</v>
      </c>
      <c r="G135">
        <v>3</v>
      </c>
      <c r="I135" t="s">
        <v>225</v>
      </c>
    </row>
    <row r="136" spans="1:9" x14ac:dyDescent="0.25">
      <c r="A136" t="s">
        <v>260</v>
      </c>
      <c r="B136" t="s">
        <v>16</v>
      </c>
      <c r="C136" t="s">
        <v>42</v>
      </c>
      <c r="D136" t="s">
        <v>35</v>
      </c>
      <c r="E136">
        <v>62476</v>
      </c>
      <c r="F136" s="2">
        <v>42946</v>
      </c>
      <c r="G136">
        <v>1</v>
      </c>
      <c r="H136" t="s">
        <v>19</v>
      </c>
      <c r="I136" t="s">
        <v>138</v>
      </c>
    </row>
    <row r="137" spans="1:9" x14ac:dyDescent="0.25">
      <c r="A137" t="s">
        <v>261</v>
      </c>
      <c r="C137" t="s">
        <v>34</v>
      </c>
      <c r="D137" t="s">
        <v>47</v>
      </c>
      <c r="E137">
        <v>39280</v>
      </c>
      <c r="F137" s="2">
        <v>42953</v>
      </c>
      <c r="G137">
        <v>3</v>
      </c>
      <c r="H137" t="s">
        <v>36</v>
      </c>
      <c r="I137" t="s">
        <v>99</v>
      </c>
    </row>
    <row r="138" spans="1:9" x14ac:dyDescent="0.25">
      <c r="A138" t="s">
        <v>262</v>
      </c>
      <c r="B138" t="s">
        <v>31</v>
      </c>
      <c r="C138" t="s">
        <v>10</v>
      </c>
      <c r="D138" t="s">
        <v>35</v>
      </c>
      <c r="E138">
        <v>60335</v>
      </c>
      <c r="F138" s="2">
        <v>42960</v>
      </c>
      <c r="G138">
        <v>4</v>
      </c>
      <c r="H138" t="s">
        <v>19</v>
      </c>
      <c r="I138" t="s">
        <v>129</v>
      </c>
    </row>
    <row r="139" spans="1:9" x14ac:dyDescent="0.25">
      <c r="A139" t="s">
        <v>263</v>
      </c>
      <c r="B139" t="s">
        <v>41</v>
      </c>
      <c r="C139" t="s">
        <v>17</v>
      </c>
      <c r="D139" t="s">
        <v>18</v>
      </c>
      <c r="E139">
        <v>84968</v>
      </c>
      <c r="F139" s="2">
        <v>42967</v>
      </c>
      <c r="I139" t="s">
        <v>264</v>
      </c>
    </row>
    <row r="140" spans="1:9" x14ac:dyDescent="0.25">
      <c r="A140" t="s">
        <v>265</v>
      </c>
      <c r="B140" t="s">
        <v>41</v>
      </c>
      <c r="C140" t="s">
        <v>42</v>
      </c>
      <c r="D140" t="s">
        <v>64</v>
      </c>
      <c r="E140">
        <v>84750</v>
      </c>
      <c r="F140" s="2">
        <v>42974</v>
      </c>
      <c r="G140">
        <v>4</v>
      </c>
      <c r="H140" t="s">
        <v>36</v>
      </c>
      <c r="I140" t="s">
        <v>60</v>
      </c>
    </row>
    <row r="141" spans="1:9" x14ac:dyDescent="0.25">
      <c r="A141" t="s">
        <v>266</v>
      </c>
      <c r="B141" t="s">
        <v>54</v>
      </c>
      <c r="C141" t="s">
        <v>34</v>
      </c>
      <c r="E141">
        <v>73348</v>
      </c>
      <c r="F141" s="2">
        <v>42981</v>
      </c>
      <c r="G141">
        <v>2</v>
      </c>
      <c r="I141" t="s">
        <v>171</v>
      </c>
    </row>
    <row r="142" spans="1:9" x14ac:dyDescent="0.25">
      <c r="A142" t="s">
        <v>267</v>
      </c>
      <c r="B142" t="s">
        <v>41</v>
      </c>
      <c r="C142" t="s">
        <v>26</v>
      </c>
      <c r="D142" t="s">
        <v>27</v>
      </c>
      <c r="E142" t="s">
        <v>12</v>
      </c>
      <c r="F142" s="2">
        <v>42988</v>
      </c>
      <c r="G142">
        <v>4</v>
      </c>
      <c r="H142" t="s">
        <v>19</v>
      </c>
      <c r="I142" t="s">
        <v>14</v>
      </c>
    </row>
    <row r="143" spans="1:9" x14ac:dyDescent="0.25">
      <c r="A143" t="s">
        <v>268</v>
      </c>
      <c r="B143" t="s">
        <v>31</v>
      </c>
      <c r="C143" t="s">
        <v>42</v>
      </c>
      <c r="D143" t="s">
        <v>27</v>
      </c>
      <c r="E143">
        <v>66882</v>
      </c>
      <c r="F143" s="2">
        <v>42995</v>
      </c>
      <c r="G143">
        <v>5</v>
      </c>
      <c r="H143" t="s">
        <v>19</v>
      </c>
      <c r="I143" t="s">
        <v>85</v>
      </c>
    </row>
    <row r="144" spans="1:9" x14ac:dyDescent="0.25">
      <c r="A144" t="s">
        <v>269</v>
      </c>
      <c r="B144" t="s">
        <v>22</v>
      </c>
      <c r="C144" t="s">
        <v>42</v>
      </c>
      <c r="E144">
        <v>86775</v>
      </c>
      <c r="F144" s="2">
        <v>43002</v>
      </c>
      <c r="G144">
        <v>3</v>
      </c>
      <c r="H144" t="s">
        <v>19</v>
      </c>
      <c r="I144" t="s">
        <v>95</v>
      </c>
    </row>
    <row r="145" spans="1:9" x14ac:dyDescent="0.25">
      <c r="A145" t="s">
        <v>270</v>
      </c>
      <c r="B145" t="s">
        <v>41</v>
      </c>
      <c r="C145" t="s">
        <v>26</v>
      </c>
      <c r="D145" t="s">
        <v>47</v>
      </c>
      <c r="E145">
        <v>91620</v>
      </c>
      <c r="F145" s="2">
        <v>43009</v>
      </c>
      <c r="I145" t="s">
        <v>271</v>
      </c>
    </row>
    <row r="146" spans="1:9" x14ac:dyDescent="0.25">
      <c r="A146" t="s">
        <v>272</v>
      </c>
      <c r="B146" t="s">
        <v>16</v>
      </c>
      <c r="E146">
        <v>94148</v>
      </c>
      <c r="F146" s="2">
        <v>43016</v>
      </c>
      <c r="G146">
        <v>2</v>
      </c>
      <c r="I146" t="s">
        <v>273</v>
      </c>
    </row>
    <row r="147" spans="1:9" x14ac:dyDescent="0.25">
      <c r="A147" t="s">
        <v>274</v>
      </c>
      <c r="B147" t="s">
        <v>39</v>
      </c>
      <c r="C147" t="s">
        <v>26</v>
      </c>
      <c r="D147" t="s">
        <v>64</v>
      </c>
      <c r="E147">
        <v>35627</v>
      </c>
      <c r="F147" s="2">
        <v>43023</v>
      </c>
      <c r="G147">
        <v>5</v>
      </c>
      <c r="H147" t="s">
        <v>36</v>
      </c>
      <c r="I147" t="s">
        <v>258</v>
      </c>
    </row>
    <row r="148" spans="1:9" x14ac:dyDescent="0.25">
      <c r="A148" t="s">
        <v>275</v>
      </c>
      <c r="B148" t="s">
        <v>25</v>
      </c>
      <c r="C148" t="s">
        <v>42</v>
      </c>
      <c r="D148" t="s">
        <v>27</v>
      </c>
      <c r="E148">
        <v>57141</v>
      </c>
      <c r="F148" s="2">
        <v>43030</v>
      </c>
      <c r="G148">
        <v>2</v>
      </c>
      <c r="I148" t="s">
        <v>264</v>
      </c>
    </row>
    <row r="149" spans="1:9" x14ac:dyDescent="0.25">
      <c r="A149" t="s">
        <v>276</v>
      </c>
      <c r="B149" t="s">
        <v>54</v>
      </c>
      <c r="C149" t="s">
        <v>26</v>
      </c>
      <c r="D149" t="s">
        <v>64</v>
      </c>
      <c r="E149">
        <v>65270</v>
      </c>
      <c r="F149" s="2">
        <v>43037</v>
      </c>
      <c r="G149">
        <v>1</v>
      </c>
      <c r="I149" t="s">
        <v>277</v>
      </c>
    </row>
    <row r="150" spans="1:9" x14ac:dyDescent="0.25">
      <c r="A150" t="s">
        <v>278</v>
      </c>
      <c r="B150" t="s">
        <v>54</v>
      </c>
      <c r="D150" t="s">
        <v>47</v>
      </c>
      <c r="E150">
        <v>67335</v>
      </c>
      <c r="F150" s="2">
        <v>43044</v>
      </c>
      <c r="G150">
        <v>1</v>
      </c>
      <c r="H150" t="s">
        <v>19</v>
      </c>
      <c r="I150" t="s">
        <v>144</v>
      </c>
    </row>
    <row r="151" spans="1:9" x14ac:dyDescent="0.25">
      <c r="A151" t="s">
        <v>279</v>
      </c>
      <c r="B151" t="s">
        <v>39</v>
      </c>
      <c r="C151" t="s">
        <v>42</v>
      </c>
      <c r="D151" t="s">
        <v>35</v>
      </c>
      <c r="E151">
        <v>98475</v>
      </c>
      <c r="F151" s="2">
        <v>43051</v>
      </c>
      <c r="G151">
        <v>5</v>
      </c>
      <c r="H151" t="s">
        <v>19</v>
      </c>
      <c r="I151" t="s">
        <v>280</v>
      </c>
    </row>
  </sheetData>
  <dataValidations count="2">
    <dataValidation type="list" allowBlank="1" showInputMessage="1" showErrorMessage="1" sqref="B1:B1048576" xr:uid="{06230A9A-D16B-4A75-B6D4-64A3A280AA4C}">
      <formula1>$B$2:$B$151</formula1>
    </dataValidation>
    <dataValidation type="list" allowBlank="1" showInputMessage="1" showErrorMessage="1" sqref="C1:C1048576" xr:uid="{8EEE91D2-80BA-40BB-9889-EC032026A9D5}">
      <formula1>$C:$C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8BF79-7391-4EA4-AA51-CB66228B343B}">
  <dimension ref="A1:P151"/>
  <sheetViews>
    <sheetView topLeftCell="D1" workbookViewId="0">
      <selection activeCell="H109" sqref="H109"/>
    </sheetView>
  </sheetViews>
  <sheetFormatPr defaultRowHeight="15" x14ac:dyDescent="0.25"/>
  <cols>
    <col min="1" max="1" width="16.7109375" bestFit="1" customWidth="1"/>
    <col min="2" max="2" width="12.140625" bestFit="1" customWidth="1"/>
    <col min="3" max="3" width="16.28515625" bestFit="1" customWidth="1"/>
    <col min="4" max="4" width="12.5703125" bestFit="1" customWidth="1"/>
    <col min="5" max="5" width="10.85546875" bestFit="1" customWidth="1"/>
    <col min="6" max="6" width="18.85546875" bestFit="1" customWidth="1"/>
    <col min="7" max="7" width="23.28515625" bestFit="1" customWidth="1"/>
    <col min="8" max="8" width="12.28515625" bestFit="1" customWidth="1"/>
    <col min="9" max="9" width="22.140625" bestFit="1" customWidth="1"/>
    <col min="10" max="10" width="22.42578125" customWidth="1"/>
    <col min="11" max="11" width="16.85546875" customWidth="1"/>
    <col min="12" max="12" width="13.7109375" customWidth="1"/>
    <col min="13" max="13" width="14.140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 t="s">
        <v>285</v>
      </c>
      <c r="K1" s="1" t="s">
        <v>283</v>
      </c>
      <c r="L1" s="7" t="s">
        <v>292</v>
      </c>
      <c r="M1" s="1" t="s">
        <v>291</v>
      </c>
    </row>
    <row r="2" spans="1:16" hidden="1" x14ac:dyDescent="0.25">
      <c r="A2" t="s">
        <v>9</v>
      </c>
      <c r="C2" t="s">
        <v>10</v>
      </c>
      <c r="E2">
        <v>66637</v>
      </c>
      <c r="G2">
        <v>2</v>
      </c>
      <c r="H2" t="s">
        <v>13</v>
      </c>
      <c r="I2" t="s">
        <v>14</v>
      </c>
      <c r="J2">
        <f>IF(ISBLANK(G2),AVERAGE(Table15[Performance Rating]),G2)</f>
        <v>2</v>
      </c>
      <c r="K2" t="str">
        <f t="shared" ref="K2:K33" si="0">IF(ISBLANK(B2),"UNKNOWN",B2)</f>
        <v>UNKNOWN</v>
      </c>
      <c r="L2" t="str">
        <f>PROPER(Table15[[#This Row],[NAME2]])</f>
        <v>Unknown</v>
      </c>
    </row>
    <row r="3" spans="1:16" ht="15.75" hidden="1" thickBot="1" x14ac:dyDescent="0.3">
      <c r="A3" t="s">
        <v>15</v>
      </c>
      <c r="B3" t="s">
        <v>16</v>
      </c>
      <c r="C3" t="s">
        <v>17</v>
      </c>
      <c r="D3" t="s">
        <v>18</v>
      </c>
      <c r="E3">
        <v>54255</v>
      </c>
      <c r="F3" s="2">
        <v>42015</v>
      </c>
      <c r="G3">
        <v>1</v>
      </c>
      <c r="H3" t="s">
        <v>19</v>
      </c>
      <c r="I3" t="s">
        <v>20</v>
      </c>
      <c r="J3">
        <f>IF(ISBLANK(G3),AVERAGE(Table15[Performance Rating]),G3)</f>
        <v>1</v>
      </c>
      <c r="K3" t="str">
        <f t="shared" si="0"/>
        <v>Eve Adams</v>
      </c>
      <c r="L3" t="str">
        <f>PROPER(Table15[[#This Row],[NAME2]])</f>
        <v>Eve Adams</v>
      </c>
      <c r="N3" s="9" t="s">
        <v>296</v>
      </c>
      <c r="O3" s="8">
        <v>66280</v>
      </c>
    </row>
    <row r="4" spans="1:16" hidden="1" x14ac:dyDescent="0.25">
      <c r="A4" t="s">
        <v>21</v>
      </c>
      <c r="B4" t="s">
        <v>22</v>
      </c>
      <c r="C4" t="s">
        <v>10</v>
      </c>
      <c r="D4" t="s">
        <v>18</v>
      </c>
      <c r="E4">
        <v>63184</v>
      </c>
      <c r="F4" s="2">
        <v>42022</v>
      </c>
      <c r="G4" s="6">
        <v>2</v>
      </c>
      <c r="I4" t="s">
        <v>23</v>
      </c>
      <c r="J4">
        <f>IF(ISBLANK(G4),AVERAGE(Table15[Performance Rating]),G4)</f>
        <v>2</v>
      </c>
      <c r="K4" t="str">
        <f t="shared" si="0"/>
        <v>Alice Brown</v>
      </c>
      <c r="L4" t="str">
        <f>PROPER(Table15[[#This Row],[NAME2]])</f>
        <v>Alice Brown</v>
      </c>
    </row>
    <row r="5" spans="1:16" ht="15.75" hidden="1" thickBot="1" x14ac:dyDescent="0.3">
      <c r="A5" t="s">
        <v>24</v>
      </c>
      <c r="B5" t="s">
        <v>25</v>
      </c>
      <c r="C5" t="s">
        <v>26</v>
      </c>
      <c r="D5" t="s">
        <v>27</v>
      </c>
      <c r="E5">
        <v>94406</v>
      </c>
      <c r="F5" s="2">
        <v>42029</v>
      </c>
      <c r="G5">
        <v>1</v>
      </c>
      <c r="H5" t="s">
        <v>28</v>
      </c>
      <c r="I5" t="s">
        <v>29</v>
      </c>
      <c r="J5">
        <f>IF(ISBLANK(G5),AVERAGE(Table15[Performance Rating]),G5)</f>
        <v>1</v>
      </c>
      <c r="K5" t="str">
        <f t="shared" si="0"/>
        <v>John Doe</v>
      </c>
      <c r="L5" t="str">
        <f>PROPER(Table15[[#This Row],[NAME2]])</f>
        <v>John Doe</v>
      </c>
      <c r="N5" s="10" t="s">
        <v>293</v>
      </c>
      <c r="O5" s="11"/>
      <c r="P5" s="8"/>
    </row>
    <row r="6" spans="1:16" hidden="1" x14ac:dyDescent="0.25">
      <c r="A6" t="s">
        <v>30</v>
      </c>
      <c r="B6" t="s">
        <v>31</v>
      </c>
      <c r="C6" t="s">
        <v>26</v>
      </c>
      <c r="D6" t="s">
        <v>18</v>
      </c>
      <c r="E6">
        <v>64120</v>
      </c>
      <c r="F6" s="2">
        <v>42036</v>
      </c>
      <c r="G6">
        <v>1</v>
      </c>
      <c r="H6" t="s">
        <v>28</v>
      </c>
      <c r="I6" t="s">
        <v>32</v>
      </c>
      <c r="J6">
        <f>IF(ISBLANK(G6),AVERAGE(Table15[Performance Rating]),G6)</f>
        <v>1</v>
      </c>
      <c r="K6" t="str">
        <f t="shared" si="0"/>
        <v>Jane Smith</v>
      </c>
      <c r="L6" t="str">
        <f>PROPER(Table15[[#This Row],[NAME2]])</f>
        <v>Jane Smith</v>
      </c>
    </row>
    <row r="7" spans="1:16" hidden="1" x14ac:dyDescent="0.25">
      <c r="A7" t="s">
        <v>33</v>
      </c>
      <c r="B7" t="s">
        <v>22</v>
      </c>
      <c r="C7" t="s">
        <v>34</v>
      </c>
      <c r="D7" t="s">
        <v>35</v>
      </c>
      <c r="E7">
        <v>78421</v>
      </c>
      <c r="F7" s="2">
        <v>42043</v>
      </c>
      <c r="G7">
        <v>2</v>
      </c>
      <c r="H7" t="s">
        <v>36</v>
      </c>
      <c r="I7" t="s">
        <v>37</v>
      </c>
      <c r="J7">
        <f>IF(ISBLANK(G7),AVERAGE(Table15[Performance Rating]),G7)</f>
        <v>2</v>
      </c>
      <c r="K7" t="str">
        <f t="shared" si="0"/>
        <v>Alice Brown</v>
      </c>
      <c r="L7" t="str">
        <f>PROPER(Table15[[#This Row],[NAME2]])</f>
        <v>Alice Brown</v>
      </c>
    </row>
    <row r="8" spans="1:16" hidden="1" x14ac:dyDescent="0.25">
      <c r="A8" t="s">
        <v>38</v>
      </c>
      <c r="B8" t="s">
        <v>39</v>
      </c>
      <c r="C8" t="s">
        <v>26</v>
      </c>
      <c r="E8">
        <v>67721</v>
      </c>
      <c r="F8" s="2">
        <v>42050</v>
      </c>
      <c r="H8" t="s">
        <v>28</v>
      </c>
      <c r="I8" t="s">
        <v>29</v>
      </c>
      <c r="J8">
        <f>IF(ISBLANK(G8),AVERAGE(Table15[Performance Rating]),G8)</f>
        <v>2.8719999999999999</v>
      </c>
      <c r="K8" t="str">
        <f t="shared" si="0"/>
        <v>Sam Wilson</v>
      </c>
      <c r="L8" t="str">
        <f>PROPER(Table15[[#This Row],[NAME2]])</f>
        <v>Sam Wilson</v>
      </c>
      <c r="N8" t="s">
        <v>297</v>
      </c>
      <c r="P8" t="e" cm="1">
        <f t="array" ref="P8">coun</f>
        <v>#NAME?</v>
      </c>
    </row>
    <row r="9" spans="1:16" hidden="1" x14ac:dyDescent="0.25">
      <c r="A9" t="s">
        <v>40</v>
      </c>
      <c r="B9" t="s">
        <v>41</v>
      </c>
      <c r="C9" t="s">
        <v>42</v>
      </c>
      <c r="E9">
        <v>35364</v>
      </c>
      <c r="F9" s="2">
        <v>42057</v>
      </c>
      <c r="G9">
        <v>2</v>
      </c>
      <c r="H9" t="s">
        <v>19</v>
      </c>
      <c r="I9" t="s">
        <v>43</v>
      </c>
      <c r="J9">
        <f>IF(ISBLANK(G9),AVERAGE(Table15[Performance Rating]),G9)</f>
        <v>2</v>
      </c>
      <c r="K9" t="str">
        <f t="shared" si="0"/>
        <v>Chris Lee</v>
      </c>
      <c r="L9" t="str">
        <f>PROPER(Table15[[#This Row],[NAME2]])</f>
        <v>Chris Lee</v>
      </c>
    </row>
    <row r="10" spans="1:16" hidden="1" x14ac:dyDescent="0.25">
      <c r="A10" t="s">
        <v>44</v>
      </c>
      <c r="B10" t="s">
        <v>22</v>
      </c>
      <c r="C10" t="s">
        <v>34</v>
      </c>
      <c r="D10" t="s">
        <v>18</v>
      </c>
      <c r="E10">
        <v>97881</v>
      </c>
      <c r="F10" s="2">
        <v>42064</v>
      </c>
      <c r="H10" t="s">
        <v>36</v>
      </c>
      <c r="I10" t="s">
        <v>45</v>
      </c>
      <c r="J10">
        <f>IF(ISBLANK(G10),AVERAGE(Table15[Performance Rating]),G10)</f>
        <v>2.8719999999999999</v>
      </c>
      <c r="K10" t="str">
        <f t="shared" si="0"/>
        <v>Alice Brown</v>
      </c>
      <c r="L10" t="str">
        <f>PROPER(Table15[[#This Row],[NAME2]])</f>
        <v>Alice Brown</v>
      </c>
    </row>
    <row r="11" spans="1:16" hidden="1" x14ac:dyDescent="0.25">
      <c r="A11" t="s">
        <v>46</v>
      </c>
      <c r="B11" t="s">
        <v>41</v>
      </c>
      <c r="C11" t="s">
        <v>17</v>
      </c>
      <c r="D11" t="s">
        <v>47</v>
      </c>
      <c r="E11">
        <v>91846</v>
      </c>
      <c r="F11" s="2">
        <v>42071</v>
      </c>
      <c r="H11" t="s">
        <v>28</v>
      </c>
      <c r="I11" t="s">
        <v>48</v>
      </c>
      <c r="J11">
        <f>IF(ISBLANK(G11),AVERAGE(Table15[Performance Rating]),G11)</f>
        <v>2.8719999999999999</v>
      </c>
      <c r="K11" t="str">
        <f t="shared" si="0"/>
        <v>Chris Lee</v>
      </c>
      <c r="L11" t="str">
        <f>PROPER(Table15[[#This Row],[NAME2]])</f>
        <v>Chris Lee</v>
      </c>
    </row>
    <row r="12" spans="1:16" hidden="1" x14ac:dyDescent="0.25">
      <c r="A12" t="s">
        <v>49</v>
      </c>
      <c r="B12" t="s">
        <v>39</v>
      </c>
      <c r="C12" t="s">
        <v>10</v>
      </c>
      <c r="D12" t="s">
        <v>47</v>
      </c>
      <c r="E12">
        <v>64247</v>
      </c>
      <c r="F12" s="2">
        <v>42078</v>
      </c>
      <c r="G12">
        <v>1</v>
      </c>
      <c r="H12" t="s">
        <v>36</v>
      </c>
      <c r="I12" t="s">
        <v>50</v>
      </c>
      <c r="J12">
        <f>IF(ISBLANK(G12),AVERAGE(Table15[Performance Rating]),G12)</f>
        <v>1</v>
      </c>
      <c r="K12" t="str">
        <f t="shared" si="0"/>
        <v>Sam Wilson</v>
      </c>
      <c r="L12" t="str">
        <f>PROPER(Table15[[#This Row],[NAME2]])</f>
        <v>Sam Wilson</v>
      </c>
    </row>
    <row r="13" spans="1:16" hidden="1" x14ac:dyDescent="0.25">
      <c r="A13" t="s">
        <v>51</v>
      </c>
      <c r="B13" t="s">
        <v>39</v>
      </c>
      <c r="C13" t="s">
        <v>34</v>
      </c>
      <c r="D13" t="s">
        <v>27</v>
      </c>
      <c r="E13">
        <v>91180</v>
      </c>
      <c r="F13" s="2">
        <v>42085</v>
      </c>
      <c r="G13">
        <v>5</v>
      </c>
      <c r="H13" t="s">
        <v>28</v>
      </c>
      <c r="I13" t="s">
        <v>52</v>
      </c>
      <c r="J13">
        <f>IF(ISBLANK(G13),AVERAGE(Table15[Performance Rating]),G13)</f>
        <v>5</v>
      </c>
      <c r="K13" t="str">
        <f t="shared" si="0"/>
        <v>Sam Wilson</v>
      </c>
      <c r="L13" t="str">
        <f>PROPER(Table15[[#This Row],[NAME2]])</f>
        <v>Sam Wilson</v>
      </c>
    </row>
    <row r="14" spans="1:16" hidden="1" x14ac:dyDescent="0.25">
      <c r="A14" t="s">
        <v>53</v>
      </c>
      <c r="B14" t="s">
        <v>54</v>
      </c>
      <c r="C14" t="s">
        <v>26</v>
      </c>
      <c r="E14">
        <v>96418</v>
      </c>
      <c r="F14" s="2">
        <v>42092</v>
      </c>
      <c r="G14">
        <v>5</v>
      </c>
      <c r="H14" t="s">
        <v>28</v>
      </c>
      <c r="I14" t="s">
        <v>20</v>
      </c>
      <c r="J14">
        <f>IF(ISBLANK(G14),AVERAGE(Table15[Performance Rating]),G14)</f>
        <v>5</v>
      </c>
      <c r="K14" t="str">
        <f t="shared" si="0"/>
        <v>Bob Johnson</v>
      </c>
      <c r="L14" t="str">
        <f>PROPER(Table15[[#This Row],[NAME2]])</f>
        <v>Bob Johnson</v>
      </c>
    </row>
    <row r="15" spans="1:16" hidden="1" x14ac:dyDescent="0.25">
      <c r="A15" t="s">
        <v>55</v>
      </c>
      <c r="B15" t="s">
        <v>39</v>
      </c>
      <c r="D15" t="s">
        <v>35</v>
      </c>
      <c r="E15">
        <v>62158</v>
      </c>
      <c r="F15" s="2">
        <v>42099</v>
      </c>
      <c r="G15">
        <v>4</v>
      </c>
      <c r="I15" t="s">
        <v>56</v>
      </c>
      <c r="J15">
        <f>IF(ISBLANK(G15),AVERAGE(Table15[Performance Rating]),G15)</f>
        <v>4</v>
      </c>
      <c r="K15" t="str">
        <f t="shared" si="0"/>
        <v>Sam Wilson</v>
      </c>
      <c r="L15" t="str">
        <f>PROPER(Table15[[#This Row],[NAME2]])</f>
        <v>Sam Wilson</v>
      </c>
    </row>
    <row r="16" spans="1:16" hidden="1" x14ac:dyDescent="0.25">
      <c r="A16" t="s">
        <v>57</v>
      </c>
      <c r="B16" t="s">
        <v>31</v>
      </c>
      <c r="C16" t="s">
        <v>17</v>
      </c>
      <c r="E16">
        <v>59894</v>
      </c>
      <c r="F16" s="2">
        <v>42106</v>
      </c>
      <c r="G16">
        <v>2</v>
      </c>
      <c r="H16" t="s">
        <v>28</v>
      </c>
      <c r="I16" t="s">
        <v>58</v>
      </c>
      <c r="J16">
        <f>IF(ISBLANK(G16),AVERAGE(Table15[Performance Rating]),G16)</f>
        <v>2</v>
      </c>
      <c r="K16" t="str">
        <f t="shared" si="0"/>
        <v>Jane Smith</v>
      </c>
      <c r="L16" t="str">
        <f>PROPER(Table15[[#This Row],[NAME2]])</f>
        <v>Jane Smith</v>
      </c>
    </row>
    <row r="17" spans="1:12" hidden="1" x14ac:dyDescent="0.25">
      <c r="A17" t="s">
        <v>59</v>
      </c>
      <c r="C17" t="s">
        <v>34</v>
      </c>
      <c r="D17" t="s">
        <v>35</v>
      </c>
      <c r="E17">
        <v>92443</v>
      </c>
      <c r="F17" s="2">
        <v>42113</v>
      </c>
      <c r="G17">
        <v>3</v>
      </c>
      <c r="H17" t="s">
        <v>19</v>
      </c>
      <c r="I17" t="s">
        <v>60</v>
      </c>
      <c r="J17">
        <f>IF(ISBLANK(G17),AVERAGE(Table15[Performance Rating]),G17)</f>
        <v>3</v>
      </c>
      <c r="K17" t="str">
        <f t="shared" si="0"/>
        <v>UNKNOWN</v>
      </c>
      <c r="L17" t="str">
        <f>PROPER(Table15[[#This Row],[NAME2]])</f>
        <v>Unknown</v>
      </c>
    </row>
    <row r="18" spans="1:12" hidden="1" x14ac:dyDescent="0.25">
      <c r="A18" t="s">
        <v>61</v>
      </c>
      <c r="B18" t="s">
        <v>54</v>
      </c>
      <c r="D18" t="s">
        <v>18</v>
      </c>
      <c r="E18">
        <v>90271</v>
      </c>
      <c r="F18" s="2">
        <v>42120</v>
      </c>
      <c r="I18" t="s">
        <v>62</v>
      </c>
      <c r="J18">
        <f>IF(ISBLANK(G18),AVERAGE(Table15[Performance Rating]),G18)</f>
        <v>2.8719999999999999</v>
      </c>
      <c r="K18" t="str">
        <f t="shared" si="0"/>
        <v>Bob Johnson</v>
      </c>
      <c r="L18" t="str">
        <f>PROPER(Table15[[#This Row],[NAME2]])</f>
        <v>Bob Johnson</v>
      </c>
    </row>
    <row r="19" spans="1:12" hidden="1" x14ac:dyDescent="0.25">
      <c r="A19" t="s">
        <v>63</v>
      </c>
      <c r="B19" t="s">
        <v>31</v>
      </c>
      <c r="C19" t="s">
        <v>10</v>
      </c>
      <c r="D19" t="s">
        <v>64</v>
      </c>
      <c r="E19">
        <v>41341</v>
      </c>
      <c r="F19" s="2">
        <v>42127</v>
      </c>
      <c r="G19">
        <v>1</v>
      </c>
      <c r="H19" t="s">
        <v>19</v>
      </c>
      <c r="I19" t="s">
        <v>65</v>
      </c>
      <c r="J19">
        <f>IF(ISBLANK(G19),AVERAGE(Table15[Performance Rating]),G19)</f>
        <v>1</v>
      </c>
      <c r="K19" t="str">
        <f t="shared" si="0"/>
        <v>Jane Smith</v>
      </c>
      <c r="L19" t="str">
        <f>PROPER(Table15[[#This Row],[NAME2]])</f>
        <v>Jane Smith</v>
      </c>
    </row>
    <row r="20" spans="1:12" hidden="1" x14ac:dyDescent="0.25">
      <c r="A20" t="s">
        <v>66</v>
      </c>
      <c r="B20" t="s">
        <v>22</v>
      </c>
      <c r="C20" t="s">
        <v>10</v>
      </c>
      <c r="D20" t="s">
        <v>47</v>
      </c>
      <c r="E20">
        <v>73602</v>
      </c>
      <c r="F20" s="2">
        <v>42134</v>
      </c>
      <c r="I20" t="s">
        <v>67</v>
      </c>
      <c r="J20">
        <f>IF(ISBLANK(G20),AVERAGE(Table15[Performance Rating]),G20)</f>
        <v>2.8719999999999999</v>
      </c>
      <c r="K20" t="str">
        <f t="shared" si="0"/>
        <v>Alice Brown</v>
      </c>
      <c r="L20" t="str">
        <f>PROPER(Table15[[#This Row],[NAME2]])</f>
        <v>Alice Brown</v>
      </c>
    </row>
    <row r="21" spans="1:12" hidden="1" x14ac:dyDescent="0.25">
      <c r="A21" t="s">
        <v>68</v>
      </c>
      <c r="B21" t="s">
        <v>16</v>
      </c>
      <c r="D21" t="s">
        <v>35</v>
      </c>
      <c r="E21">
        <v>67531</v>
      </c>
      <c r="F21" s="2">
        <v>42141</v>
      </c>
      <c r="G21">
        <v>5</v>
      </c>
      <c r="H21" t="s">
        <v>36</v>
      </c>
      <c r="I21" t="s">
        <v>69</v>
      </c>
      <c r="J21">
        <f>IF(ISBLANK(G21),AVERAGE(Table15[Performance Rating]),G21)</f>
        <v>5</v>
      </c>
      <c r="K21" t="str">
        <f t="shared" si="0"/>
        <v>Eve Adams</v>
      </c>
      <c r="L21" t="str">
        <f>PROPER(Table15[[#This Row],[NAME2]])</f>
        <v>Eve Adams</v>
      </c>
    </row>
    <row r="22" spans="1:12" hidden="1" x14ac:dyDescent="0.25">
      <c r="A22" t="s">
        <v>70</v>
      </c>
      <c r="B22" t="s">
        <v>31</v>
      </c>
      <c r="C22" t="s">
        <v>17</v>
      </c>
      <c r="D22" t="s">
        <v>27</v>
      </c>
      <c r="E22">
        <v>66637</v>
      </c>
      <c r="F22" s="2">
        <v>42148</v>
      </c>
      <c r="G22">
        <v>2</v>
      </c>
      <c r="H22" t="s">
        <v>19</v>
      </c>
      <c r="I22" t="s">
        <v>71</v>
      </c>
      <c r="J22">
        <f>IF(ISBLANK(G22),AVERAGE(Table15[Performance Rating]),G22)</f>
        <v>2</v>
      </c>
      <c r="K22" t="str">
        <f t="shared" si="0"/>
        <v>Jane Smith</v>
      </c>
      <c r="L22" t="str">
        <f>PROPER(Table15[[#This Row],[NAME2]])</f>
        <v>Jane Smith</v>
      </c>
    </row>
    <row r="23" spans="1:12" hidden="1" x14ac:dyDescent="0.25">
      <c r="A23" t="s">
        <v>72</v>
      </c>
      <c r="B23" t="s">
        <v>31</v>
      </c>
      <c r="C23" t="s">
        <v>17</v>
      </c>
      <c r="E23">
        <v>98922</v>
      </c>
      <c r="F23" s="2">
        <v>42155</v>
      </c>
      <c r="G23">
        <v>4</v>
      </c>
      <c r="I23" t="s">
        <v>73</v>
      </c>
      <c r="J23">
        <f>IF(ISBLANK(G23),AVERAGE(Table15[Performance Rating]),G23)</f>
        <v>4</v>
      </c>
      <c r="K23" t="str">
        <f t="shared" si="0"/>
        <v>Jane Smith</v>
      </c>
      <c r="L23" t="str">
        <f>PROPER(Table15[[#This Row],[NAME2]])</f>
        <v>Jane Smith</v>
      </c>
    </row>
    <row r="24" spans="1:12" hidden="1" x14ac:dyDescent="0.25">
      <c r="A24" t="s">
        <v>74</v>
      </c>
      <c r="B24" t="s">
        <v>16</v>
      </c>
      <c r="C24" t="s">
        <v>10</v>
      </c>
      <c r="D24" t="s">
        <v>35</v>
      </c>
      <c r="E24">
        <v>38333</v>
      </c>
      <c r="F24" s="2">
        <v>42162</v>
      </c>
      <c r="G24">
        <v>5</v>
      </c>
      <c r="I24" t="s">
        <v>75</v>
      </c>
      <c r="J24">
        <f>IF(ISBLANK(G24),AVERAGE(Table15[Performance Rating]),G24)</f>
        <v>5</v>
      </c>
      <c r="K24" t="str">
        <f t="shared" si="0"/>
        <v>Eve Adams</v>
      </c>
      <c r="L24" t="str">
        <f>PROPER(Table15[[#This Row],[NAME2]])</f>
        <v>Eve Adams</v>
      </c>
    </row>
    <row r="25" spans="1:12" hidden="1" x14ac:dyDescent="0.25">
      <c r="A25" t="s">
        <v>76</v>
      </c>
      <c r="B25" t="s">
        <v>22</v>
      </c>
      <c r="C25" t="s">
        <v>42</v>
      </c>
      <c r="D25" t="s">
        <v>47</v>
      </c>
      <c r="E25">
        <v>36515</v>
      </c>
      <c r="F25" s="2">
        <v>42169</v>
      </c>
      <c r="G25">
        <v>3</v>
      </c>
      <c r="H25" t="s">
        <v>28</v>
      </c>
      <c r="I25" t="s">
        <v>77</v>
      </c>
      <c r="J25">
        <f>IF(ISBLANK(G25),AVERAGE(Table15[Performance Rating]),G25)</f>
        <v>3</v>
      </c>
      <c r="K25" t="str">
        <f t="shared" si="0"/>
        <v>Alice Brown</v>
      </c>
      <c r="L25" t="str">
        <f>PROPER(Table15[[#This Row],[NAME2]])</f>
        <v>Alice Brown</v>
      </c>
    </row>
    <row r="26" spans="1:12" hidden="1" x14ac:dyDescent="0.25">
      <c r="A26" t="s">
        <v>78</v>
      </c>
      <c r="B26" t="s">
        <v>39</v>
      </c>
      <c r="C26" t="s">
        <v>10</v>
      </c>
      <c r="E26">
        <v>91005</v>
      </c>
      <c r="F26" s="2">
        <v>42176</v>
      </c>
      <c r="G26">
        <v>1</v>
      </c>
      <c r="H26" t="s">
        <v>19</v>
      </c>
      <c r="I26" t="s">
        <v>79</v>
      </c>
      <c r="J26">
        <f>IF(ISBLANK(G26),AVERAGE(Table15[Performance Rating]),G26)</f>
        <v>1</v>
      </c>
      <c r="K26" t="str">
        <f t="shared" si="0"/>
        <v>Sam Wilson</v>
      </c>
      <c r="L26" t="str">
        <f>PROPER(Table15[[#This Row],[NAME2]])</f>
        <v>Sam Wilson</v>
      </c>
    </row>
    <row r="27" spans="1:12" hidden="1" x14ac:dyDescent="0.25">
      <c r="A27" t="s">
        <v>80</v>
      </c>
      <c r="B27" t="s">
        <v>41</v>
      </c>
      <c r="D27" t="s">
        <v>11</v>
      </c>
      <c r="E27">
        <v>52272</v>
      </c>
      <c r="F27" s="2">
        <v>42183</v>
      </c>
      <c r="G27">
        <v>3</v>
      </c>
      <c r="I27" t="s">
        <v>81</v>
      </c>
      <c r="J27">
        <f>IF(ISBLANK(G27),AVERAGE(Table15[Performance Rating]),G27)</f>
        <v>3</v>
      </c>
      <c r="K27" t="str">
        <f t="shared" si="0"/>
        <v>Chris Lee</v>
      </c>
      <c r="L27" t="str">
        <f>PROPER(Table15[[#This Row],[NAME2]])</f>
        <v>Chris Lee</v>
      </c>
    </row>
    <row r="28" spans="1:12" hidden="1" x14ac:dyDescent="0.25">
      <c r="A28" t="s">
        <v>82</v>
      </c>
      <c r="B28" t="s">
        <v>16</v>
      </c>
      <c r="C28" t="s">
        <v>26</v>
      </c>
      <c r="D28" t="s">
        <v>18</v>
      </c>
      <c r="E28">
        <v>76518</v>
      </c>
      <c r="F28" s="2">
        <v>42190</v>
      </c>
      <c r="G28">
        <v>2</v>
      </c>
      <c r="H28" t="s">
        <v>36</v>
      </c>
      <c r="I28" t="s">
        <v>83</v>
      </c>
      <c r="J28">
        <f>IF(ISBLANK(G28),AVERAGE(Table15[Performance Rating]),G28)</f>
        <v>2</v>
      </c>
      <c r="K28" t="str">
        <f t="shared" si="0"/>
        <v>Eve Adams</v>
      </c>
      <c r="L28" t="str">
        <f>PROPER(Table15[[#This Row],[NAME2]])</f>
        <v>Eve Adams</v>
      </c>
    </row>
    <row r="29" spans="1:12" hidden="1" x14ac:dyDescent="0.25">
      <c r="A29" t="s">
        <v>84</v>
      </c>
      <c r="B29" t="s">
        <v>22</v>
      </c>
      <c r="C29" t="s">
        <v>34</v>
      </c>
      <c r="D29" t="s">
        <v>47</v>
      </c>
      <c r="E29">
        <v>41448</v>
      </c>
      <c r="F29" s="2">
        <v>42197</v>
      </c>
      <c r="G29">
        <v>3</v>
      </c>
      <c r="H29" t="s">
        <v>19</v>
      </c>
      <c r="I29" t="s">
        <v>85</v>
      </c>
      <c r="J29">
        <f>IF(ISBLANK(G29),AVERAGE(Table15[Performance Rating]),G29)</f>
        <v>3</v>
      </c>
      <c r="K29" t="str">
        <f t="shared" si="0"/>
        <v>Alice Brown</v>
      </c>
      <c r="L29" t="str">
        <f>PROPER(Table15[[#This Row],[NAME2]])</f>
        <v>Alice Brown</v>
      </c>
    </row>
    <row r="30" spans="1:12" hidden="1" x14ac:dyDescent="0.25">
      <c r="A30" t="s">
        <v>86</v>
      </c>
      <c r="B30" t="s">
        <v>25</v>
      </c>
      <c r="C30" t="s">
        <v>17</v>
      </c>
      <c r="D30" t="s">
        <v>47</v>
      </c>
      <c r="E30">
        <v>49282</v>
      </c>
      <c r="F30" s="2">
        <v>42204</v>
      </c>
      <c r="G30">
        <v>2</v>
      </c>
      <c r="H30" t="s">
        <v>36</v>
      </c>
      <c r="I30" t="s">
        <v>87</v>
      </c>
      <c r="J30">
        <f>IF(ISBLANK(G30),AVERAGE(Table15[Performance Rating]),G30)</f>
        <v>2</v>
      </c>
      <c r="K30" t="str">
        <f t="shared" si="0"/>
        <v>John Doe</v>
      </c>
      <c r="L30" t="str">
        <f>PROPER(Table15[[#This Row],[NAME2]])</f>
        <v>John Doe</v>
      </c>
    </row>
    <row r="31" spans="1:12" hidden="1" x14ac:dyDescent="0.25">
      <c r="A31" t="s">
        <v>88</v>
      </c>
      <c r="B31" t="s">
        <v>54</v>
      </c>
      <c r="C31" t="s">
        <v>42</v>
      </c>
      <c r="D31" t="s">
        <v>47</v>
      </c>
      <c r="E31">
        <v>92959</v>
      </c>
      <c r="F31" s="2">
        <v>42211</v>
      </c>
      <c r="G31">
        <v>5</v>
      </c>
      <c r="I31" t="s">
        <v>89</v>
      </c>
      <c r="J31">
        <f>IF(ISBLANK(G31),AVERAGE(Table15[Performance Rating]),G31)</f>
        <v>5</v>
      </c>
      <c r="K31" t="str">
        <f t="shared" si="0"/>
        <v>Bob Johnson</v>
      </c>
      <c r="L31" t="str">
        <f>PROPER(Table15[[#This Row],[NAME2]])</f>
        <v>Bob Johnson</v>
      </c>
    </row>
    <row r="32" spans="1:12" hidden="1" x14ac:dyDescent="0.25">
      <c r="A32" t="s">
        <v>90</v>
      </c>
      <c r="C32" t="s">
        <v>42</v>
      </c>
      <c r="E32">
        <v>92259</v>
      </c>
      <c r="G32">
        <v>1</v>
      </c>
      <c r="H32" t="s">
        <v>13</v>
      </c>
      <c r="I32" t="s">
        <v>91</v>
      </c>
      <c r="J32">
        <f>IF(ISBLANK(G32),AVERAGE(Table15[Performance Rating]),G32)</f>
        <v>1</v>
      </c>
      <c r="K32" t="str">
        <f t="shared" si="0"/>
        <v>UNKNOWN</v>
      </c>
      <c r="L32" t="str">
        <f>PROPER(Table15[[#This Row],[NAME2]])</f>
        <v>Unknown</v>
      </c>
    </row>
    <row r="33" spans="1:12" hidden="1" x14ac:dyDescent="0.25">
      <c r="A33" t="s">
        <v>92</v>
      </c>
      <c r="B33" t="s">
        <v>16</v>
      </c>
      <c r="C33" t="s">
        <v>17</v>
      </c>
      <c r="D33" t="s">
        <v>18</v>
      </c>
      <c r="E33">
        <v>92299</v>
      </c>
      <c r="F33" s="2">
        <v>42225</v>
      </c>
      <c r="G33">
        <v>3</v>
      </c>
      <c r="H33" t="s">
        <v>28</v>
      </c>
      <c r="I33" t="s">
        <v>93</v>
      </c>
      <c r="J33">
        <f>IF(ISBLANK(G33),AVERAGE(Table15[Performance Rating]),G33)</f>
        <v>3</v>
      </c>
      <c r="K33" t="str">
        <f t="shared" si="0"/>
        <v>Eve Adams</v>
      </c>
      <c r="L33" t="str">
        <f>PROPER(Table15[[#This Row],[NAME2]])</f>
        <v>Eve Adams</v>
      </c>
    </row>
    <row r="34" spans="1:12" hidden="1" x14ac:dyDescent="0.25">
      <c r="A34" t="s">
        <v>94</v>
      </c>
      <c r="B34" t="s">
        <v>39</v>
      </c>
      <c r="C34" t="s">
        <v>17</v>
      </c>
      <c r="E34">
        <v>95586</v>
      </c>
      <c r="F34" s="2">
        <v>42232</v>
      </c>
      <c r="G34">
        <v>3</v>
      </c>
      <c r="H34" t="s">
        <v>19</v>
      </c>
      <c r="I34" t="s">
        <v>95</v>
      </c>
      <c r="J34">
        <f>IF(ISBLANK(G34),AVERAGE(Table15[Performance Rating]),G34)</f>
        <v>3</v>
      </c>
      <c r="K34" t="str">
        <f t="shared" ref="K34:K65" si="1">IF(ISBLANK(B34),"UNKNOWN",B34)</f>
        <v>Sam Wilson</v>
      </c>
      <c r="L34" t="str">
        <f>PROPER(Table15[[#This Row],[NAME2]])</f>
        <v>Sam Wilson</v>
      </c>
    </row>
    <row r="35" spans="1:12" hidden="1" x14ac:dyDescent="0.25">
      <c r="A35" t="s">
        <v>96</v>
      </c>
      <c r="B35" t="s">
        <v>41</v>
      </c>
      <c r="D35" t="s">
        <v>27</v>
      </c>
      <c r="E35">
        <v>95367</v>
      </c>
      <c r="F35" s="2">
        <v>42239</v>
      </c>
      <c r="H35" t="s">
        <v>28</v>
      </c>
      <c r="I35" t="s">
        <v>97</v>
      </c>
      <c r="J35">
        <f>IF(ISBLANK(G35),AVERAGE(Table15[Performance Rating]),G35)</f>
        <v>2.8719999999999999</v>
      </c>
      <c r="K35" t="str">
        <f t="shared" si="1"/>
        <v>Chris Lee</v>
      </c>
      <c r="L35" t="str">
        <f>PROPER(Table15[[#This Row],[NAME2]])</f>
        <v>Chris Lee</v>
      </c>
    </row>
    <row r="36" spans="1:12" hidden="1" x14ac:dyDescent="0.25">
      <c r="A36" t="s">
        <v>98</v>
      </c>
      <c r="B36" t="s">
        <v>25</v>
      </c>
      <c r="C36" t="s">
        <v>26</v>
      </c>
      <c r="D36" t="s">
        <v>64</v>
      </c>
      <c r="E36">
        <v>79549</v>
      </c>
      <c r="F36" s="2">
        <v>42246</v>
      </c>
      <c r="G36">
        <v>3</v>
      </c>
      <c r="I36" t="s">
        <v>99</v>
      </c>
      <c r="J36">
        <f>IF(ISBLANK(G36),AVERAGE(Table15[Performance Rating]),G36)</f>
        <v>3</v>
      </c>
      <c r="K36" t="str">
        <f t="shared" si="1"/>
        <v>John Doe</v>
      </c>
      <c r="L36" t="str">
        <f>PROPER(Table15[[#This Row],[NAME2]])</f>
        <v>John Doe</v>
      </c>
    </row>
    <row r="37" spans="1:12" hidden="1" x14ac:dyDescent="0.25">
      <c r="A37" t="s">
        <v>100</v>
      </c>
      <c r="B37" t="s">
        <v>22</v>
      </c>
      <c r="D37" t="s">
        <v>47</v>
      </c>
      <c r="E37">
        <v>54463</v>
      </c>
      <c r="F37" s="2">
        <v>42253</v>
      </c>
      <c r="G37">
        <v>4</v>
      </c>
      <c r="H37" t="s">
        <v>28</v>
      </c>
      <c r="I37" t="s">
        <v>14</v>
      </c>
      <c r="J37">
        <f>IF(ISBLANK(G37),AVERAGE(Table15[Performance Rating]),G37)</f>
        <v>4</v>
      </c>
      <c r="K37" t="str">
        <f t="shared" si="1"/>
        <v>Alice Brown</v>
      </c>
      <c r="L37" t="str">
        <f>PROPER(Table15[[#This Row],[NAME2]])</f>
        <v>Alice Brown</v>
      </c>
    </row>
    <row r="38" spans="1:12" hidden="1" x14ac:dyDescent="0.25">
      <c r="A38" t="s">
        <v>101</v>
      </c>
      <c r="B38" t="s">
        <v>22</v>
      </c>
      <c r="C38" t="s">
        <v>34</v>
      </c>
      <c r="D38" t="s">
        <v>27</v>
      </c>
      <c r="E38">
        <v>89781</v>
      </c>
      <c r="F38" s="2">
        <v>42260</v>
      </c>
      <c r="H38" t="s">
        <v>36</v>
      </c>
      <c r="I38" t="s">
        <v>102</v>
      </c>
      <c r="J38">
        <f>IF(ISBLANK(G38),AVERAGE(Table15[Performance Rating]),G38)</f>
        <v>2.8719999999999999</v>
      </c>
      <c r="K38" t="str">
        <f t="shared" si="1"/>
        <v>Alice Brown</v>
      </c>
      <c r="L38" t="str">
        <f>PROPER(Table15[[#This Row],[NAME2]])</f>
        <v>Alice Brown</v>
      </c>
    </row>
    <row r="39" spans="1:12" hidden="1" x14ac:dyDescent="0.25">
      <c r="A39" t="s">
        <v>103</v>
      </c>
      <c r="B39" t="s">
        <v>22</v>
      </c>
      <c r="C39" t="s">
        <v>17</v>
      </c>
      <c r="E39">
        <v>64796</v>
      </c>
      <c r="F39" s="2">
        <v>42267</v>
      </c>
      <c r="H39" t="s">
        <v>19</v>
      </c>
      <c r="I39" t="s">
        <v>104</v>
      </c>
      <c r="J39">
        <f>IF(ISBLANK(G39),AVERAGE(Table15[Performance Rating]),G39)</f>
        <v>2.8719999999999999</v>
      </c>
      <c r="K39" t="str">
        <f t="shared" si="1"/>
        <v>Alice Brown</v>
      </c>
      <c r="L39" t="str">
        <f>PROPER(Table15[[#This Row],[NAME2]])</f>
        <v>Alice Brown</v>
      </c>
    </row>
    <row r="40" spans="1:12" hidden="1" x14ac:dyDescent="0.25">
      <c r="A40" t="s">
        <v>105</v>
      </c>
      <c r="B40" t="s">
        <v>25</v>
      </c>
      <c r="C40" t="s">
        <v>42</v>
      </c>
      <c r="D40" t="s">
        <v>47</v>
      </c>
      <c r="E40">
        <v>52093</v>
      </c>
      <c r="F40" s="2">
        <v>42274</v>
      </c>
      <c r="G40">
        <v>5</v>
      </c>
      <c r="I40" t="s">
        <v>106</v>
      </c>
      <c r="J40">
        <f>IF(ISBLANK(G40),AVERAGE(Table15[Performance Rating]),G40)</f>
        <v>5</v>
      </c>
      <c r="K40" t="str">
        <f t="shared" si="1"/>
        <v>John Doe</v>
      </c>
      <c r="L40" t="str">
        <f>PROPER(Table15[[#This Row],[NAME2]])</f>
        <v>John Doe</v>
      </c>
    </row>
    <row r="41" spans="1:12" hidden="1" x14ac:dyDescent="0.25">
      <c r="A41" t="s">
        <v>107</v>
      </c>
      <c r="B41" t="s">
        <v>41</v>
      </c>
      <c r="C41" t="s">
        <v>17</v>
      </c>
      <c r="D41" t="s">
        <v>47</v>
      </c>
      <c r="E41">
        <v>48224</v>
      </c>
      <c r="F41" s="2">
        <v>42281</v>
      </c>
      <c r="G41">
        <v>3</v>
      </c>
      <c r="I41" t="s">
        <v>108</v>
      </c>
      <c r="J41">
        <f>IF(ISBLANK(G41),AVERAGE(Table15[Performance Rating]),G41)</f>
        <v>3</v>
      </c>
      <c r="K41" t="str">
        <f t="shared" si="1"/>
        <v>Chris Lee</v>
      </c>
      <c r="L41" t="str">
        <f>PROPER(Table15[[#This Row],[NAME2]])</f>
        <v>Chris Lee</v>
      </c>
    </row>
    <row r="42" spans="1:12" hidden="1" x14ac:dyDescent="0.25">
      <c r="A42" t="s">
        <v>109</v>
      </c>
      <c r="B42" t="s">
        <v>54</v>
      </c>
      <c r="C42" t="s">
        <v>10</v>
      </c>
      <c r="D42" t="s">
        <v>47</v>
      </c>
      <c r="E42">
        <v>66637</v>
      </c>
      <c r="G42">
        <v>4</v>
      </c>
      <c r="H42" t="s">
        <v>36</v>
      </c>
      <c r="I42" t="s">
        <v>110</v>
      </c>
      <c r="J42">
        <f>IF(ISBLANK(G42),AVERAGE(Table15[Performance Rating]),G42)</f>
        <v>4</v>
      </c>
      <c r="K42" t="str">
        <f t="shared" si="1"/>
        <v>Bob Johnson</v>
      </c>
      <c r="L42" t="str">
        <f>PROPER(Table15[[#This Row],[NAME2]])</f>
        <v>Bob Johnson</v>
      </c>
    </row>
    <row r="43" spans="1:12" hidden="1" x14ac:dyDescent="0.25">
      <c r="A43" t="s">
        <v>111</v>
      </c>
      <c r="B43" t="s">
        <v>22</v>
      </c>
      <c r="C43" t="s">
        <v>34</v>
      </c>
      <c r="D43" t="s">
        <v>18</v>
      </c>
      <c r="E43">
        <v>33956</v>
      </c>
      <c r="F43" s="2">
        <v>42295</v>
      </c>
      <c r="I43" t="s">
        <v>112</v>
      </c>
      <c r="J43">
        <f>IF(ISBLANK(G43),AVERAGE(Table15[Performance Rating]),G43)</f>
        <v>2.8719999999999999</v>
      </c>
      <c r="K43" t="str">
        <f t="shared" si="1"/>
        <v>Alice Brown</v>
      </c>
      <c r="L43" t="str">
        <f>PROPER(Table15[[#This Row],[NAME2]])</f>
        <v>Alice Brown</v>
      </c>
    </row>
    <row r="44" spans="1:12" hidden="1" x14ac:dyDescent="0.25">
      <c r="A44" t="s">
        <v>113</v>
      </c>
      <c r="B44" t="s">
        <v>54</v>
      </c>
      <c r="D44" t="s">
        <v>64</v>
      </c>
      <c r="E44">
        <v>64913</v>
      </c>
      <c r="F44" s="2">
        <v>42302</v>
      </c>
      <c r="G44">
        <v>1</v>
      </c>
      <c r="H44" t="s">
        <v>36</v>
      </c>
      <c r="I44" t="s">
        <v>114</v>
      </c>
      <c r="J44">
        <f>IF(ISBLANK(G44),AVERAGE(Table15[Performance Rating]),G44)</f>
        <v>1</v>
      </c>
      <c r="K44" t="str">
        <f t="shared" si="1"/>
        <v>Bob Johnson</v>
      </c>
      <c r="L44" t="str">
        <f>PROPER(Table15[[#This Row],[NAME2]])</f>
        <v>Bob Johnson</v>
      </c>
    </row>
    <row r="45" spans="1:12" hidden="1" x14ac:dyDescent="0.25">
      <c r="A45" t="s">
        <v>115</v>
      </c>
      <c r="B45" t="s">
        <v>22</v>
      </c>
      <c r="C45" t="s">
        <v>42</v>
      </c>
      <c r="D45" t="s">
        <v>64</v>
      </c>
      <c r="E45">
        <v>35326</v>
      </c>
      <c r="F45" s="2">
        <v>42309</v>
      </c>
      <c r="H45" t="s">
        <v>36</v>
      </c>
      <c r="I45" t="s">
        <v>116</v>
      </c>
      <c r="J45">
        <f>IF(ISBLANK(G45),AVERAGE(Table15[Performance Rating]),G45)</f>
        <v>2.8719999999999999</v>
      </c>
      <c r="K45" t="str">
        <f t="shared" si="1"/>
        <v>Alice Brown</v>
      </c>
      <c r="L45" t="str">
        <f>PROPER(Table15[[#This Row],[NAME2]])</f>
        <v>Alice Brown</v>
      </c>
    </row>
    <row r="46" spans="1:12" hidden="1" x14ac:dyDescent="0.25">
      <c r="A46" t="s">
        <v>117</v>
      </c>
      <c r="B46" t="s">
        <v>41</v>
      </c>
      <c r="C46" t="s">
        <v>10</v>
      </c>
      <c r="E46">
        <v>81610</v>
      </c>
      <c r="F46" s="2">
        <v>42316</v>
      </c>
      <c r="G46">
        <v>1</v>
      </c>
      <c r="I46" t="s">
        <v>118</v>
      </c>
      <c r="J46">
        <f>IF(ISBLANK(G46),AVERAGE(Table15[Performance Rating]),G46)</f>
        <v>1</v>
      </c>
      <c r="K46" t="str">
        <f t="shared" si="1"/>
        <v>Chris Lee</v>
      </c>
      <c r="L46" t="str">
        <f>PROPER(Table15[[#This Row],[NAME2]])</f>
        <v>Chris Lee</v>
      </c>
    </row>
    <row r="47" spans="1:12" hidden="1" x14ac:dyDescent="0.25">
      <c r="A47" t="s">
        <v>119</v>
      </c>
      <c r="C47" t="s">
        <v>17</v>
      </c>
      <c r="E47">
        <v>58962</v>
      </c>
      <c r="F47" s="2">
        <v>42323</v>
      </c>
      <c r="G47">
        <v>3</v>
      </c>
      <c r="H47" t="s">
        <v>19</v>
      </c>
      <c r="I47" t="s">
        <v>20</v>
      </c>
      <c r="J47">
        <f>IF(ISBLANK(G47),AVERAGE(Table15[Performance Rating]),G47)</f>
        <v>3</v>
      </c>
      <c r="K47" t="str">
        <f t="shared" si="1"/>
        <v>UNKNOWN</v>
      </c>
      <c r="L47" t="str">
        <f>PROPER(Table15[[#This Row],[NAME2]])</f>
        <v>Unknown</v>
      </c>
    </row>
    <row r="48" spans="1:12" hidden="1" x14ac:dyDescent="0.25">
      <c r="A48" t="s">
        <v>120</v>
      </c>
      <c r="B48" t="s">
        <v>41</v>
      </c>
      <c r="C48" t="s">
        <v>34</v>
      </c>
      <c r="D48" t="s">
        <v>18</v>
      </c>
      <c r="E48">
        <v>92701</v>
      </c>
      <c r="F48" s="2">
        <v>42330</v>
      </c>
      <c r="G48">
        <v>3</v>
      </c>
      <c r="H48" t="s">
        <v>19</v>
      </c>
      <c r="I48" t="s">
        <v>121</v>
      </c>
      <c r="J48">
        <f>IF(ISBLANK(G48),AVERAGE(Table15[Performance Rating]),G48)</f>
        <v>3</v>
      </c>
      <c r="K48" t="str">
        <f t="shared" si="1"/>
        <v>Chris Lee</v>
      </c>
      <c r="L48" t="str">
        <f>PROPER(Table15[[#This Row],[NAME2]])</f>
        <v>Chris Lee</v>
      </c>
    </row>
    <row r="49" spans="1:12" hidden="1" x14ac:dyDescent="0.25">
      <c r="A49" t="s">
        <v>122</v>
      </c>
      <c r="B49" t="s">
        <v>41</v>
      </c>
      <c r="C49" t="s">
        <v>17</v>
      </c>
      <c r="D49" t="s">
        <v>35</v>
      </c>
      <c r="E49">
        <v>58245</v>
      </c>
      <c r="F49" s="2">
        <v>42337</v>
      </c>
      <c r="G49">
        <v>4</v>
      </c>
      <c r="I49" t="s">
        <v>123</v>
      </c>
      <c r="J49">
        <f>IF(ISBLANK(G49),AVERAGE(Table15[Performance Rating]),G49)</f>
        <v>4</v>
      </c>
      <c r="K49" t="str">
        <f t="shared" si="1"/>
        <v>Chris Lee</v>
      </c>
      <c r="L49" t="str">
        <f>PROPER(Table15[[#This Row],[NAME2]])</f>
        <v>Chris Lee</v>
      </c>
    </row>
    <row r="50" spans="1:12" hidden="1" x14ac:dyDescent="0.25">
      <c r="A50" t="s">
        <v>124</v>
      </c>
      <c r="B50" t="s">
        <v>25</v>
      </c>
      <c r="C50" t="s">
        <v>10</v>
      </c>
      <c r="E50">
        <v>66513</v>
      </c>
      <c r="F50" s="2">
        <v>42344</v>
      </c>
      <c r="G50">
        <v>2</v>
      </c>
      <c r="H50" t="s">
        <v>19</v>
      </c>
      <c r="I50" t="s">
        <v>37</v>
      </c>
      <c r="J50">
        <f>IF(ISBLANK(G50),AVERAGE(Table15[Performance Rating]),G50)</f>
        <v>2</v>
      </c>
      <c r="K50" t="str">
        <f t="shared" si="1"/>
        <v>John Doe</v>
      </c>
      <c r="L50" t="str">
        <f>PROPER(Table15[[#This Row],[NAME2]])</f>
        <v>John Doe</v>
      </c>
    </row>
    <row r="51" spans="1:12" hidden="1" x14ac:dyDescent="0.25">
      <c r="A51" t="s">
        <v>125</v>
      </c>
      <c r="B51" t="s">
        <v>16</v>
      </c>
      <c r="C51" t="s">
        <v>17</v>
      </c>
      <c r="D51" t="s">
        <v>18</v>
      </c>
      <c r="E51">
        <v>78720</v>
      </c>
      <c r="F51" s="2">
        <v>42351</v>
      </c>
      <c r="G51">
        <v>5</v>
      </c>
      <c r="H51" t="s">
        <v>36</v>
      </c>
      <c r="I51" t="s">
        <v>110</v>
      </c>
      <c r="J51">
        <f>IF(ISBLANK(G51),AVERAGE(Table15[Performance Rating]),G51)</f>
        <v>5</v>
      </c>
      <c r="K51" t="str">
        <f t="shared" si="1"/>
        <v>Eve Adams</v>
      </c>
      <c r="L51" t="str">
        <f>PROPER(Table15[[#This Row],[NAME2]])</f>
        <v>Eve Adams</v>
      </c>
    </row>
    <row r="52" spans="1:12" hidden="1" x14ac:dyDescent="0.25">
      <c r="A52" t="s">
        <v>126</v>
      </c>
      <c r="B52" t="s">
        <v>41</v>
      </c>
      <c r="D52" t="s">
        <v>11</v>
      </c>
      <c r="E52">
        <v>30686</v>
      </c>
      <c r="G52">
        <v>2</v>
      </c>
      <c r="H52" t="s">
        <v>36</v>
      </c>
      <c r="I52" t="s">
        <v>127</v>
      </c>
      <c r="J52">
        <f>IF(ISBLANK(G52),AVERAGE(Table15[Performance Rating]),G52)</f>
        <v>2</v>
      </c>
      <c r="K52" t="str">
        <f t="shared" si="1"/>
        <v>Chris Lee</v>
      </c>
      <c r="L52" t="str">
        <f>PROPER(Table15[[#This Row],[NAME2]])</f>
        <v>Chris Lee</v>
      </c>
    </row>
    <row r="53" spans="1:12" hidden="1" x14ac:dyDescent="0.25">
      <c r="A53" t="s">
        <v>128</v>
      </c>
      <c r="B53" t="s">
        <v>39</v>
      </c>
      <c r="C53" t="s">
        <v>26</v>
      </c>
      <c r="D53" t="s">
        <v>35</v>
      </c>
      <c r="E53">
        <v>39423</v>
      </c>
      <c r="F53" s="2">
        <v>42365</v>
      </c>
      <c r="G53">
        <v>5</v>
      </c>
      <c r="I53" t="s">
        <v>129</v>
      </c>
      <c r="J53">
        <f>IF(ISBLANK(G53),AVERAGE(Table15[Performance Rating]),G53)</f>
        <v>5</v>
      </c>
      <c r="K53" t="str">
        <f t="shared" si="1"/>
        <v>Sam Wilson</v>
      </c>
      <c r="L53" t="str">
        <f>PROPER(Table15[[#This Row],[NAME2]])</f>
        <v>Sam Wilson</v>
      </c>
    </row>
    <row r="54" spans="1:12" hidden="1" x14ac:dyDescent="0.25">
      <c r="A54" t="s">
        <v>130</v>
      </c>
      <c r="B54" t="s">
        <v>16</v>
      </c>
      <c r="C54" t="s">
        <v>42</v>
      </c>
      <c r="E54">
        <v>30280</v>
      </c>
      <c r="F54" s="2">
        <v>42372</v>
      </c>
      <c r="G54">
        <v>1</v>
      </c>
      <c r="I54" t="s">
        <v>131</v>
      </c>
      <c r="J54">
        <f>IF(ISBLANK(G54),AVERAGE(Table15[Performance Rating]),G54)</f>
        <v>1</v>
      </c>
      <c r="K54" t="str">
        <f t="shared" si="1"/>
        <v>Eve Adams</v>
      </c>
      <c r="L54" t="str">
        <f>PROPER(Table15[[#This Row],[NAME2]])</f>
        <v>Eve Adams</v>
      </c>
    </row>
    <row r="55" spans="1:12" hidden="1" x14ac:dyDescent="0.25">
      <c r="A55" t="s">
        <v>132</v>
      </c>
      <c r="B55" t="s">
        <v>16</v>
      </c>
      <c r="C55" t="s">
        <v>10</v>
      </c>
      <c r="D55" t="s">
        <v>47</v>
      </c>
      <c r="E55">
        <v>33352</v>
      </c>
      <c r="F55" s="2">
        <v>42379</v>
      </c>
      <c r="G55">
        <v>3</v>
      </c>
      <c r="H55" t="s">
        <v>36</v>
      </c>
      <c r="I55" t="s">
        <v>71</v>
      </c>
      <c r="J55">
        <f>IF(ISBLANK(G55),AVERAGE(Table15[Performance Rating]),G55)</f>
        <v>3</v>
      </c>
      <c r="K55" t="str">
        <f t="shared" si="1"/>
        <v>Eve Adams</v>
      </c>
      <c r="L55" t="str">
        <f>PROPER(Table15[[#This Row],[NAME2]])</f>
        <v>Eve Adams</v>
      </c>
    </row>
    <row r="56" spans="1:12" hidden="1" x14ac:dyDescent="0.25">
      <c r="A56" t="s">
        <v>133</v>
      </c>
      <c r="B56" t="s">
        <v>54</v>
      </c>
      <c r="C56" t="s">
        <v>42</v>
      </c>
      <c r="D56" t="s">
        <v>47</v>
      </c>
      <c r="E56">
        <v>75633</v>
      </c>
      <c r="F56" s="2">
        <v>42386</v>
      </c>
      <c r="G56">
        <v>5</v>
      </c>
      <c r="H56" t="s">
        <v>19</v>
      </c>
      <c r="I56" t="s">
        <v>134</v>
      </c>
      <c r="J56">
        <f>IF(ISBLANK(G56),AVERAGE(Table15[Performance Rating]),G56)</f>
        <v>5</v>
      </c>
      <c r="K56" t="str">
        <f t="shared" si="1"/>
        <v>Bob Johnson</v>
      </c>
      <c r="L56" t="str">
        <f>PROPER(Table15[[#This Row],[NAME2]])</f>
        <v>Bob Johnson</v>
      </c>
    </row>
    <row r="57" spans="1:12" hidden="1" x14ac:dyDescent="0.25">
      <c r="A57" t="s">
        <v>135</v>
      </c>
      <c r="B57" t="s">
        <v>41</v>
      </c>
      <c r="D57" t="s">
        <v>27</v>
      </c>
      <c r="E57">
        <v>74815</v>
      </c>
      <c r="F57" s="2">
        <v>42393</v>
      </c>
      <c r="G57">
        <v>5</v>
      </c>
      <c r="H57" t="s">
        <v>36</v>
      </c>
      <c r="I57" t="s">
        <v>136</v>
      </c>
      <c r="J57">
        <f>IF(ISBLANK(G57),AVERAGE(Table15[Performance Rating]),G57)</f>
        <v>5</v>
      </c>
      <c r="K57" t="str">
        <f t="shared" si="1"/>
        <v>Chris Lee</v>
      </c>
      <c r="L57" t="str">
        <f>PROPER(Table15[[#This Row],[NAME2]])</f>
        <v>Chris Lee</v>
      </c>
    </row>
    <row r="58" spans="1:12" hidden="1" x14ac:dyDescent="0.25">
      <c r="A58" t="s">
        <v>137</v>
      </c>
      <c r="B58" t="s">
        <v>25</v>
      </c>
      <c r="C58" t="s">
        <v>26</v>
      </c>
      <c r="D58" t="s">
        <v>64</v>
      </c>
      <c r="E58">
        <v>60011</v>
      </c>
      <c r="F58" s="2">
        <v>42400</v>
      </c>
      <c r="G58">
        <v>1</v>
      </c>
      <c r="H58" t="s">
        <v>28</v>
      </c>
      <c r="I58" t="s">
        <v>138</v>
      </c>
      <c r="J58">
        <f>IF(ISBLANK(G58),AVERAGE(Table15[Performance Rating]),G58)</f>
        <v>1</v>
      </c>
      <c r="K58" t="str">
        <f t="shared" si="1"/>
        <v>John Doe</v>
      </c>
      <c r="L58" t="str">
        <f>PROPER(Table15[[#This Row],[NAME2]])</f>
        <v>John Doe</v>
      </c>
    </row>
    <row r="59" spans="1:12" hidden="1" x14ac:dyDescent="0.25">
      <c r="A59" t="s">
        <v>139</v>
      </c>
      <c r="B59" t="s">
        <v>16</v>
      </c>
      <c r="D59" t="s">
        <v>35</v>
      </c>
      <c r="E59">
        <v>96949</v>
      </c>
      <c r="F59" s="2">
        <v>42407</v>
      </c>
      <c r="G59">
        <v>3</v>
      </c>
      <c r="I59" t="s">
        <v>85</v>
      </c>
      <c r="J59">
        <f>IF(ISBLANK(G59),AVERAGE(Table15[Performance Rating]),G59)</f>
        <v>3</v>
      </c>
      <c r="K59" t="str">
        <f t="shared" si="1"/>
        <v>Eve Adams</v>
      </c>
      <c r="L59" t="str">
        <f>PROPER(Table15[[#This Row],[NAME2]])</f>
        <v>Eve Adams</v>
      </c>
    </row>
    <row r="60" spans="1:12" hidden="1" x14ac:dyDescent="0.25">
      <c r="A60" t="s">
        <v>140</v>
      </c>
      <c r="B60" t="s">
        <v>39</v>
      </c>
      <c r="C60" t="s">
        <v>42</v>
      </c>
      <c r="E60">
        <v>84924</v>
      </c>
      <c r="F60" s="2">
        <v>42414</v>
      </c>
      <c r="G60">
        <v>5</v>
      </c>
      <c r="H60" t="s">
        <v>28</v>
      </c>
      <c r="I60" t="s">
        <v>141</v>
      </c>
      <c r="J60">
        <f>IF(ISBLANK(G60),AVERAGE(Table15[Performance Rating]),G60)</f>
        <v>5</v>
      </c>
      <c r="K60" t="str">
        <f t="shared" si="1"/>
        <v>Sam Wilson</v>
      </c>
      <c r="L60" t="str">
        <f>PROPER(Table15[[#This Row],[NAME2]])</f>
        <v>Sam Wilson</v>
      </c>
    </row>
    <row r="61" spans="1:12" hidden="1" x14ac:dyDescent="0.25">
      <c r="A61" t="s">
        <v>142</v>
      </c>
      <c r="B61" t="s">
        <v>39</v>
      </c>
      <c r="C61" t="s">
        <v>10</v>
      </c>
      <c r="D61" t="s">
        <v>27</v>
      </c>
      <c r="E61">
        <v>82033</v>
      </c>
      <c r="F61" s="2">
        <v>42421</v>
      </c>
      <c r="G61">
        <v>1</v>
      </c>
      <c r="I61" t="s">
        <v>118</v>
      </c>
      <c r="J61">
        <f>IF(ISBLANK(G61),AVERAGE(Table15[Performance Rating]),G61)</f>
        <v>1</v>
      </c>
      <c r="K61" t="str">
        <f t="shared" si="1"/>
        <v>Sam Wilson</v>
      </c>
      <c r="L61" t="str">
        <f>PROPER(Table15[[#This Row],[NAME2]])</f>
        <v>Sam Wilson</v>
      </c>
    </row>
    <row r="62" spans="1:12" hidden="1" x14ac:dyDescent="0.25">
      <c r="A62" t="s">
        <v>143</v>
      </c>
      <c r="C62" t="s">
        <v>42</v>
      </c>
      <c r="D62" t="s">
        <v>18</v>
      </c>
      <c r="E62">
        <v>66637</v>
      </c>
      <c r="G62">
        <v>5</v>
      </c>
      <c r="H62" t="s">
        <v>13</v>
      </c>
      <c r="I62" t="s">
        <v>144</v>
      </c>
      <c r="J62">
        <f>IF(ISBLANK(G62),AVERAGE(Table15[Performance Rating]),G62)</f>
        <v>5</v>
      </c>
      <c r="K62" t="str">
        <f t="shared" si="1"/>
        <v>UNKNOWN</v>
      </c>
      <c r="L62" t="str">
        <f>PROPER(Table15[[#This Row],[NAME2]])</f>
        <v>Unknown</v>
      </c>
    </row>
    <row r="63" spans="1:12" hidden="1" x14ac:dyDescent="0.25">
      <c r="A63" t="s">
        <v>145</v>
      </c>
      <c r="B63" t="s">
        <v>16</v>
      </c>
      <c r="D63" t="s">
        <v>64</v>
      </c>
      <c r="E63">
        <v>31499</v>
      </c>
      <c r="F63" s="2">
        <v>42435</v>
      </c>
      <c r="G63">
        <v>2</v>
      </c>
      <c r="I63" t="s">
        <v>102</v>
      </c>
      <c r="J63">
        <f>IF(ISBLANK(G63),AVERAGE(Table15[Performance Rating]),G63)</f>
        <v>2</v>
      </c>
      <c r="K63" t="str">
        <f t="shared" si="1"/>
        <v>Eve Adams</v>
      </c>
      <c r="L63" t="str">
        <f>PROPER(Table15[[#This Row],[NAME2]])</f>
        <v>Eve Adams</v>
      </c>
    </row>
    <row r="64" spans="1:12" hidden="1" x14ac:dyDescent="0.25">
      <c r="A64" t="s">
        <v>146</v>
      </c>
      <c r="B64" t="s">
        <v>41</v>
      </c>
      <c r="C64" t="s">
        <v>34</v>
      </c>
      <c r="D64" t="s">
        <v>47</v>
      </c>
      <c r="E64">
        <v>97981</v>
      </c>
      <c r="F64" s="2">
        <v>42442</v>
      </c>
      <c r="G64">
        <v>5</v>
      </c>
      <c r="H64" t="s">
        <v>36</v>
      </c>
      <c r="I64" t="s">
        <v>147</v>
      </c>
      <c r="J64">
        <f>IF(ISBLANK(G64),AVERAGE(Table15[Performance Rating]),G64)</f>
        <v>5</v>
      </c>
      <c r="K64" t="str">
        <f t="shared" si="1"/>
        <v>Chris Lee</v>
      </c>
      <c r="L64" t="str">
        <f>PROPER(Table15[[#This Row],[NAME2]])</f>
        <v>Chris Lee</v>
      </c>
    </row>
    <row r="65" spans="1:12" hidden="1" x14ac:dyDescent="0.25">
      <c r="A65" t="s">
        <v>148</v>
      </c>
      <c r="B65" t="s">
        <v>16</v>
      </c>
      <c r="C65" t="s">
        <v>17</v>
      </c>
      <c r="D65" t="s">
        <v>27</v>
      </c>
      <c r="E65">
        <v>36541</v>
      </c>
      <c r="F65" s="2">
        <v>42449</v>
      </c>
      <c r="G65">
        <v>2</v>
      </c>
      <c r="H65" t="s">
        <v>19</v>
      </c>
      <c r="I65" t="s">
        <v>149</v>
      </c>
      <c r="J65">
        <f>IF(ISBLANK(G65),AVERAGE(Table15[Performance Rating]),G65)</f>
        <v>2</v>
      </c>
      <c r="K65" t="str">
        <f t="shared" si="1"/>
        <v>Eve Adams</v>
      </c>
      <c r="L65" t="str">
        <f>PROPER(Table15[[#This Row],[NAME2]])</f>
        <v>Eve Adams</v>
      </c>
    </row>
    <row r="66" spans="1:12" hidden="1" x14ac:dyDescent="0.25">
      <c r="A66" t="s">
        <v>150</v>
      </c>
      <c r="B66" t="s">
        <v>25</v>
      </c>
      <c r="C66" t="s">
        <v>34</v>
      </c>
      <c r="D66" t="s">
        <v>35</v>
      </c>
      <c r="E66">
        <v>84737</v>
      </c>
      <c r="F66" s="2">
        <v>42456</v>
      </c>
      <c r="G66">
        <v>1</v>
      </c>
      <c r="H66" t="s">
        <v>28</v>
      </c>
      <c r="I66" t="s">
        <v>151</v>
      </c>
      <c r="J66">
        <f>IF(ISBLANK(G66),AVERAGE(Table15[Performance Rating]),G66)</f>
        <v>1</v>
      </c>
      <c r="K66" t="str">
        <f t="shared" ref="K66:K97" si="2">IF(ISBLANK(B66),"UNKNOWN",B66)</f>
        <v>John Doe</v>
      </c>
      <c r="L66" t="str">
        <f>PROPER(Table15[[#This Row],[NAME2]])</f>
        <v>John Doe</v>
      </c>
    </row>
    <row r="67" spans="1:12" hidden="1" x14ac:dyDescent="0.25">
      <c r="A67" t="s">
        <v>152</v>
      </c>
      <c r="B67" t="s">
        <v>39</v>
      </c>
      <c r="C67" t="s">
        <v>10</v>
      </c>
      <c r="D67" t="s">
        <v>35</v>
      </c>
      <c r="E67">
        <v>33468</v>
      </c>
      <c r="F67" s="2">
        <v>42463</v>
      </c>
      <c r="G67">
        <v>4</v>
      </c>
      <c r="H67" t="s">
        <v>28</v>
      </c>
      <c r="I67" t="s">
        <v>153</v>
      </c>
      <c r="J67">
        <f>IF(ISBLANK(G67),AVERAGE(Table15[Performance Rating]),G67)</f>
        <v>4</v>
      </c>
      <c r="K67" t="str">
        <f t="shared" si="2"/>
        <v>Sam Wilson</v>
      </c>
      <c r="L67" t="str">
        <f>PROPER(Table15[[#This Row],[NAME2]])</f>
        <v>Sam Wilson</v>
      </c>
    </row>
    <row r="68" spans="1:12" hidden="1" x14ac:dyDescent="0.25">
      <c r="A68" t="s">
        <v>154</v>
      </c>
      <c r="B68" t="s">
        <v>39</v>
      </c>
      <c r="D68" t="s">
        <v>64</v>
      </c>
      <c r="E68">
        <v>96365</v>
      </c>
      <c r="F68" s="2">
        <v>42470</v>
      </c>
      <c r="G68">
        <v>3</v>
      </c>
      <c r="H68" t="s">
        <v>19</v>
      </c>
      <c r="I68" t="s">
        <v>155</v>
      </c>
      <c r="J68">
        <f>IF(ISBLANK(G68),AVERAGE(Table15[Performance Rating]),G68)</f>
        <v>3</v>
      </c>
      <c r="K68" t="str">
        <f t="shared" si="2"/>
        <v>Sam Wilson</v>
      </c>
      <c r="L68" t="str">
        <f>PROPER(Table15[[#This Row],[NAME2]])</f>
        <v>Sam Wilson</v>
      </c>
    </row>
    <row r="69" spans="1:12" hidden="1" x14ac:dyDescent="0.25">
      <c r="A69" t="s">
        <v>156</v>
      </c>
      <c r="B69" t="s">
        <v>22</v>
      </c>
      <c r="C69" t="s">
        <v>26</v>
      </c>
      <c r="D69" t="s">
        <v>35</v>
      </c>
      <c r="E69">
        <v>61942</v>
      </c>
      <c r="F69" s="2">
        <v>42477</v>
      </c>
      <c r="G69">
        <v>3</v>
      </c>
      <c r="H69" t="s">
        <v>36</v>
      </c>
      <c r="I69" t="s">
        <v>157</v>
      </c>
      <c r="J69">
        <f>IF(ISBLANK(G69),AVERAGE(Table15[Performance Rating]),G69)</f>
        <v>3</v>
      </c>
      <c r="K69" t="str">
        <f t="shared" si="2"/>
        <v>Alice Brown</v>
      </c>
      <c r="L69" t="str">
        <f>PROPER(Table15[[#This Row],[NAME2]])</f>
        <v>Alice Brown</v>
      </c>
    </row>
    <row r="70" spans="1:12" hidden="1" x14ac:dyDescent="0.25">
      <c r="A70" t="s">
        <v>158</v>
      </c>
      <c r="B70" t="s">
        <v>39</v>
      </c>
      <c r="C70" t="s">
        <v>10</v>
      </c>
      <c r="D70" t="s">
        <v>47</v>
      </c>
      <c r="E70">
        <v>41467</v>
      </c>
      <c r="F70" s="2">
        <v>42484</v>
      </c>
      <c r="G70">
        <v>2</v>
      </c>
      <c r="I70" t="s">
        <v>73</v>
      </c>
      <c r="J70">
        <f>IF(ISBLANK(G70),AVERAGE(Table15[Performance Rating]),G70)</f>
        <v>2</v>
      </c>
      <c r="K70" t="str">
        <f t="shared" si="2"/>
        <v>Sam Wilson</v>
      </c>
      <c r="L70" t="str">
        <f>PROPER(Table15[[#This Row],[NAME2]])</f>
        <v>Sam Wilson</v>
      </c>
    </row>
    <row r="71" spans="1:12" hidden="1" x14ac:dyDescent="0.25">
      <c r="A71" t="s">
        <v>159</v>
      </c>
      <c r="B71" t="s">
        <v>54</v>
      </c>
      <c r="C71" t="s">
        <v>10</v>
      </c>
      <c r="D71" t="s">
        <v>35</v>
      </c>
      <c r="E71">
        <v>77096</v>
      </c>
      <c r="F71" s="2">
        <v>42491</v>
      </c>
      <c r="G71">
        <v>1</v>
      </c>
      <c r="I71" t="s">
        <v>160</v>
      </c>
      <c r="J71">
        <f>IF(ISBLANK(G71),AVERAGE(Table15[Performance Rating]),G71)</f>
        <v>1</v>
      </c>
      <c r="K71" t="str">
        <f t="shared" si="2"/>
        <v>Bob Johnson</v>
      </c>
      <c r="L71" t="str">
        <f>PROPER(Table15[[#This Row],[NAME2]])</f>
        <v>Bob Johnson</v>
      </c>
    </row>
    <row r="72" spans="1:12" hidden="1" x14ac:dyDescent="0.25">
      <c r="A72" t="s">
        <v>161</v>
      </c>
      <c r="B72" t="s">
        <v>16</v>
      </c>
      <c r="C72" t="s">
        <v>26</v>
      </c>
      <c r="D72" t="s">
        <v>64</v>
      </c>
      <c r="E72">
        <v>69952</v>
      </c>
      <c r="F72" s="2">
        <v>42498</v>
      </c>
      <c r="G72">
        <v>5</v>
      </c>
      <c r="H72" t="s">
        <v>36</v>
      </c>
      <c r="I72" t="s">
        <v>14</v>
      </c>
      <c r="J72">
        <f>IF(ISBLANK(G72),AVERAGE(Table15[Performance Rating]),G72)</f>
        <v>5</v>
      </c>
      <c r="K72" t="str">
        <f t="shared" si="2"/>
        <v>Eve Adams</v>
      </c>
      <c r="L72" t="str">
        <f>PROPER(Table15[[#This Row],[NAME2]])</f>
        <v>Eve Adams</v>
      </c>
    </row>
    <row r="73" spans="1:12" hidden="1" x14ac:dyDescent="0.25">
      <c r="A73" t="s">
        <v>162</v>
      </c>
      <c r="B73" t="s">
        <v>16</v>
      </c>
      <c r="C73" t="s">
        <v>42</v>
      </c>
      <c r="D73" t="s">
        <v>27</v>
      </c>
      <c r="E73">
        <v>85065</v>
      </c>
      <c r="F73" s="2">
        <v>42505</v>
      </c>
      <c r="G73">
        <v>3</v>
      </c>
      <c r="I73" t="s">
        <v>163</v>
      </c>
      <c r="J73">
        <f>IF(ISBLANK(G73),AVERAGE(Table15[Performance Rating]),G73)</f>
        <v>3</v>
      </c>
      <c r="K73" t="str">
        <f t="shared" si="2"/>
        <v>Eve Adams</v>
      </c>
      <c r="L73" t="str">
        <f>PROPER(Table15[[#This Row],[NAME2]])</f>
        <v>Eve Adams</v>
      </c>
    </row>
    <row r="74" spans="1:12" hidden="1" x14ac:dyDescent="0.25">
      <c r="A74" t="s">
        <v>164</v>
      </c>
      <c r="B74" t="s">
        <v>54</v>
      </c>
      <c r="C74" t="s">
        <v>42</v>
      </c>
      <c r="D74" t="s">
        <v>35</v>
      </c>
      <c r="E74">
        <v>56512</v>
      </c>
      <c r="F74" s="2">
        <v>42512</v>
      </c>
      <c r="H74" t="s">
        <v>19</v>
      </c>
      <c r="I74" t="s">
        <v>48</v>
      </c>
      <c r="J74">
        <f>IF(ISBLANK(G74),AVERAGE(Table15[Performance Rating]),G74)</f>
        <v>2.8719999999999999</v>
      </c>
      <c r="K74" t="str">
        <f t="shared" si="2"/>
        <v>Bob Johnson</v>
      </c>
      <c r="L74" t="str">
        <f>PROPER(Table15[[#This Row],[NAME2]])</f>
        <v>Bob Johnson</v>
      </c>
    </row>
    <row r="75" spans="1:12" hidden="1" x14ac:dyDescent="0.25">
      <c r="A75" t="s">
        <v>165</v>
      </c>
      <c r="B75" t="s">
        <v>25</v>
      </c>
      <c r="C75" t="s">
        <v>26</v>
      </c>
      <c r="D75" t="s">
        <v>35</v>
      </c>
      <c r="E75">
        <v>91101</v>
      </c>
      <c r="F75" s="2">
        <v>42519</v>
      </c>
      <c r="G75">
        <v>4</v>
      </c>
      <c r="H75" t="s">
        <v>36</v>
      </c>
      <c r="I75" t="s">
        <v>147</v>
      </c>
      <c r="J75">
        <f>IF(ISBLANK(G75),AVERAGE(Table15[Performance Rating]),G75)</f>
        <v>4</v>
      </c>
      <c r="K75" t="str">
        <f t="shared" si="2"/>
        <v>John Doe</v>
      </c>
      <c r="L75" t="str">
        <f>PROPER(Table15[[#This Row],[NAME2]])</f>
        <v>John Doe</v>
      </c>
    </row>
    <row r="76" spans="1:12" hidden="1" x14ac:dyDescent="0.25">
      <c r="A76" t="s">
        <v>166</v>
      </c>
      <c r="B76" t="s">
        <v>39</v>
      </c>
      <c r="D76" t="s">
        <v>18</v>
      </c>
      <c r="E76">
        <v>41243</v>
      </c>
      <c r="F76" s="2">
        <v>42526</v>
      </c>
      <c r="I76" t="s">
        <v>93</v>
      </c>
      <c r="J76">
        <f>IF(ISBLANK(G76),AVERAGE(Table15[Performance Rating]),G76)</f>
        <v>2.8719999999999999</v>
      </c>
      <c r="K76" t="str">
        <f t="shared" si="2"/>
        <v>Sam Wilson</v>
      </c>
      <c r="L76" t="str">
        <f>PROPER(Table15[[#This Row],[NAME2]])</f>
        <v>Sam Wilson</v>
      </c>
    </row>
    <row r="77" spans="1:12" hidden="1" x14ac:dyDescent="0.25">
      <c r="A77" t="s">
        <v>167</v>
      </c>
      <c r="C77" t="s">
        <v>26</v>
      </c>
      <c r="D77" t="s">
        <v>11</v>
      </c>
      <c r="E77">
        <v>96142</v>
      </c>
      <c r="F77" s="2">
        <v>42533</v>
      </c>
      <c r="G77">
        <v>1</v>
      </c>
      <c r="H77" t="s">
        <v>19</v>
      </c>
      <c r="I77" t="s">
        <v>168</v>
      </c>
      <c r="J77">
        <f>IF(ISBLANK(G77),AVERAGE(Table15[Performance Rating]),G77)</f>
        <v>1</v>
      </c>
      <c r="K77" t="str">
        <f t="shared" si="2"/>
        <v>UNKNOWN</v>
      </c>
      <c r="L77" t="str">
        <f>PROPER(Table15[[#This Row],[NAME2]])</f>
        <v>Unknown</v>
      </c>
    </row>
    <row r="78" spans="1:12" hidden="1" x14ac:dyDescent="0.25">
      <c r="A78" t="s">
        <v>169</v>
      </c>
      <c r="B78" t="s">
        <v>16</v>
      </c>
      <c r="C78" t="s">
        <v>34</v>
      </c>
      <c r="D78" t="s">
        <v>35</v>
      </c>
      <c r="E78">
        <v>94301</v>
      </c>
      <c r="F78" s="2">
        <v>42540</v>
      </c>
      <c r="G78">
        <v>1</v>
      </c>
      <c r="H78" t="s">
        <v>28</v>
      </c>
      <c r="I78" t="s">
        <v>118</v>
      </c>
      <c r="J78">
        <f>IF(ISBLANK(G78),AVERAGE(Table15[Performance Rating]),G78)</f>
        <v>1</v>
      </c>
      <c r="K78" t="str">
        <f t="shared" si="2"/>
        <v>Eve Adams</v>
      </c>
      <c r="L78" t="str">
        <f>PROPER(Table15[[#This Row],[NAME2]])</f>
        <v>Eve Adams</v>
      </c>
    </row>
    <row r="79" spans="1:12" hidden="1" x14ac:dyDescent="0.25">
      <c r="A79" t="s">
        <v>170</v>
      </c>
      <c r="B79" t="s">
        <v>31</v>
      </c>
      <c r="D79" t="s">
        <v>47</v>
      </c>
      <c r="E79">
        <v>69166</v>
      </c>
      <c r="F79" s="2">
        <v>42547</v>
      </c>
      <c r="G79">
        <v>1</v>
      </c>
      <c r="H79" t="s">
        <v>36</v>
      </c>
      <c r="I79" t="s">
        <v>171</v>
      </c>
      <c r="J79">
        <f>IF(ISBLANK(G79),AVERAGE(Table15[Performance Rating]),G79)</f>
        <v>1</v>
      </c>
      <c r="K79" t="str">
        <f t="shared" si="2"/>
        <v>Jane Smith</v>
      </c>
      <c r="L79" t="str">
        <f>PROPER(Table15[[#This Row],[NAME2]])</f>
        <v>Jane Smith</v>
      </c>
    </row>
    <row r="80" spans="1:12" hidden="1" x14ac:dyDescent="0.25">
      <c r="A80" t="s">
        <v>172</v>
      </c>
      <c r="B80" t="s">
        <v>39</v>
      </c>
      <c r="D80" t="s">
        <v>47</v>
      </c>
      <c r="E80">
        <v>78245</v>
      </c>
      <c r="F80" s="2">
        <v>42554</v>
      </c>
      <c r="G80">
        <v>2</v>
      </c>
      <c r="I80" t="s">
        <v>173</v>
      </c>
      <c r="J80">
        <f>IF(ISBLANK(G80),AVERAGE(Table15[Performance Rating]),G80)</f>
        <v>2</v>
      </c>
      <c r="K80" t="str">
        <f t="shared" si="2"/>
        <v>Sam Wilson</v>
      </c>
      <c r="L80" t="str">
        <f>PROPER(Table15[[#This Row],[NAME2]])</f>
        <v>Sam Wilson</v>
      </c>
    </row>
    <row r="81" spans="1:12" hidden="1" x14ac:dyDescent="0.25">
      <c r="A81" t="s">
        <v>174</v>
      </c>
      <c r="B81" t="s">
        <v>41</v>
      </c>
      <c r="C81" t="s">
        <v>26</v>
      </c>
      <c r="D81" t="s">
        <v>27</v>
      </c>
      <c r="E81">
        <v>66079</v>
      </c>
      <c r="F81" s="2">
        <v>42561</v>
      </c>
      <c r="G81">
        <v>2</v>
      </c>
      <c r="H81" t="s">
        <v>19</v>
      </c>
      <c r="I81" t="s">
        <v>175</v>
      </c>
      <c r="J81">
        <f>IF(ISBLANK(G81),AVERAGE(Table15[Performance Rating]),G81)</f>
        <v>2</v>
      </c>
      <c r="K81" t="str">
        <f t="shared" si="2"/>
        <v>Chris Lee</v>
      </c>
      <c r="L81" t="str">
        <f>PROPER(Table15[[#This Row],[NAME2]])</f>
        <v>Chris Lee</v>
      </c>
    </row>
    <row r="82" spans="1:12" hidden="1" x14ac:dyDescent="0.25">
      <c r="A82" t="s">
        <v>176</v>
      </c>
      <c r="B82" t="s">
        <v>16</v>
      </c>
      <c r="C82" t="s">
        <v>42</v>
      </c>
      <c r="D82" t="s">
        <v>35</v>
      </c>
      <c r="E82">
        <v>66637</v>
      </c>
      <c r="I82" t="s">
        <v>87</v>
      </c>
      <c r="J82">
        <f>IF(ISBLANK(G82),AVERAGE(Table15[Performance Rating]),G82)</f>
        <v>2.8719999999999999</v>
      </c>
      <c r="K82" t="str">
        <f t="shared" si="2"/>
        <v>Eve Adams</v>
      </c>
      <c r="L82" t="str">
        <f>PROPER(Table15[[#This Row],[NAME2]])</f>
        <v>Eve Adams</v>
      </c>
    </row>
    <row r="83" spans="1:12" hidden="1" x14ac:dyDescent="0.25">
      <c r="A83" t="s">
        <v>177</v>
      </c>
      <c r="B83" t="s">
        <v>31</v>
      </c>
      <c r="C83" t="s">
        <v>26</v>
      </c>
      <c r="D83" t="s">
        <v>27</v>
      </c>
      <c r="E83">
        <v>95621</v>
      </c>
      <c r="F83" s="2">
        <v>42575</v>
      </c>
      <c r="G83">
        <v>3</v>
      </c>
      <c r="H83" t="s">
        <v>36</v>
      </c>
      <c r="I83" t="s">
        <v>178</v>
      </c>
      <c r="J83">
        <f>IF(ISBLANK(G83),AVERAGE(Table15[Performance Rating]),G83)</f>
        <v>3</v>
      </c>
      <c r="K83" t="str">
        <f t="shared" si="2"/>
        <v>Jane Smith</v>
      </c>
      <c r="L83" t="str">
        <f>PROPER(Table15[[#This Row],[NAME2]])</f>
        <v>Jane Smith</v>
      </c>
    </row>
    <row r="84" spans="1:12" hidden="1" x14ac:dyDescent="0.25">
      <c r="A84" t="s">
        <v>179</v>
      </c>
      <c r="B84" t="s">
        <v>16</v>
      </c>
      <c r="C84" t="s">
        <v>34</v>
      </c>
      <c r="D84" t="s">
        <v>47</v>
      </c>
      <c r="E84">
        <v>42262</v>
      </c>
      <c r="F84" s="2">
        <v>42582</v>
      </c>
      <c r="G84">
        <v>1</v>
      </c>
      <c r="I84" t="s">
        <v>180</v>
      </c>
      <c r="J84">
        <f>IF(ISBLANK(G84),AVERAGE(Table15[Performance Rating]),G84)</f>
        <v>1</v>
      </c>
      <c r="K84" t="str">
        <f t="shared" si="2"/>
        <v>Eve Adams</v>
      </c>
      <c r="L84" t="str">
        <f>PROPER(Table15[[#This Row],[NAME2]])</f>
        <v>Eve Adams</v>
      </c>
    </row>
    <row r="85" spans="1:12" hidden="1" x14ac:dyDescent="0.25">
      <c r="A85" t="s">
        <v>181</v>
      </c>
      <c r="B85" t="s">
        <v>39</v>
      </c>
      <c r="C85" t="s">
        <v>26</v>
      </c>
      <c r="D85" t="s">
        <v>35</v>
      </c>
      <c r="E85">
        <v>99621</v>
      </c>
      <c r="F85" s="2">
        <v>42589</v>
      </c>
      <c r="H85" t="s">
        <v>19</v>
      </c>
      <c r="I85" t="s">
        <v>182</v>
      </c>
      <c r="J85">
        <f>IF(ISBLANK(G85),AVERAGE(Table15[Performance Rating]),G85)</f>
        <v>2.8719999999999999</v>
      </c>
      <c r="K85" t="str">
        <f t="shared" si="2"/>
        <v>Sam Wilson</v>
      </c>
      <c r="L85" t="str">
        <f>PROPER(Table15[[#This Row],[NAME2]])</f>
        <v>Sam Wilson</v>
      </c>
    </row>
    <row r="86" spans="1:12" hidden="1" x14ac:dyDescent="0.25">
      <c r="A86" t="s">
        <v>183</v>
      </c>
      <c r="B86" t="s">
        <v>25</v>
      </c>
      <c r="C86" t="s">
        <v>42</v>
      </c>
      <c r="D86" t="s">
        <v>35</v>
      </c>
      <c r="E86">
        <v>44682</v>
      </c>
      <c r="F86" s="2">
        <v>42596</v>
      </c>
      <c r="G86">
        <v>4</v>
      </c>
      <c r="H86" t="s">
        <v>36</v>
      </c>
      <c r="I86" t="s">
        <v>112</v>
      </c>
      <c r="J86">
        <f>IF(ISBLANK(G86),AVERAGE(Table15[Performance Rating]),G86)</f>
        <v>4</v>
      </c>
      <c r="K86" t="str">
        <f t="shared" si="2"/>
        <v>John Doe</v>
      </c>
      <c r="L86" t="str">
        <f>PROPER(Table15[[#This Row],[NAME2]])</f>
        <v>John Doe</v>
      </c>
    </row>
    <row r="87" spans="1:12" hidden="1" x14ac:dyDescent="0.25">
      <c r="A87" t="s">
        <v>184</v>
      </c>
      <c r="B87" t="s">
        <v>41</v>
      </c>
      <c r="C87" t="s">
        <v>10</v>
      </c>
      <c r="E87">
        <v>35163</v>
      </c>
      <c r="F87" s="2">
        <v>42603</v>
      </c>
      <c r="G87">
        <v>5</v>
      </c>
      <c r="H87" t="s">
        <v>19</v>
      </c>
      <c r="I87" t="s">
        <v>185</v>
      </c>
      <c r="J87">
        <f>IF(ISBLANK(G87),AVERAGE(Table15[Performance Rating]),G87)</f>
        <v>5</v>
      </c>
      <c r="K87" t="str">
        <f t="shared" si="2"/>
        <v>Chris Lee</v>
      </c>
      <c r="L87" t="str">
        <f>PROPER(Table15[[#This Row],[NAME2]])</f>
        <v>Chris Lee</v>
      </c>
    </row>
    <row r="88" spans="1:12" hidden="1" x14ac:dyDescent="0.25">
      <c r="A88" t="s">
        <v>186</v>
      </c>
      <c r="B88" t="s">
        <v>41</v>
      </c>
      <c r="C88" t="s">
        <v>34</v>
      </c>
      <c r="D88" t="s">
        <v>35</v>
      </c>
      <c r="E88">
        <v>33483</v>
      </c>
      <c r="F88" s="2">
        <v>42610</v>
      </c>
      <c r="G88">
        <v>4</v>
      </c>
      <c r="H88" t="s">
        <v>28</v>
      </c>
      <c r="I88" t="s">
        <v>187</v>
      </c>
      <c r="J88">
        <f>IF(ISBLANK(G88),AVERAGE(Table15[Performance Rating]),G88)</f>
        <v>4</v>
      </c>
      <c r="K88" t="str">
        <f t="shared" si="2"/>
        <v>Chris Lee</v>
      </c>
      <c r="L88" t="str">
        <f>PROPER(Table15[[#This Row],[NAME2]])</f>
        <v>Chris Lee</v>
      </c>
    </row>
    <row r="89" spans="1:12" hidden="1" x14ac:dyDescent="0.25">
      <c r="A89" t="s">
        <v>188</v>
      </c>
      <c r="B89" t="s">
        <v>39</v>
      </c>
      <c r="C89" t="s">
        <v>17</v>
      </c>
      <c r="D89" t="s">
        <v>18</v>
      </c>
      <c r="E89">
        <v>55303</v>
      </c>
      <c r="F89" s="2">
        <v>42617</v>
      </c>
      <c r="G89">
        <v>4</v>
      </c>
      <c r="H89" t="s">
        <v>28</v>
      </c>
      <c r="I89" t="s">
        <v>77</v>
      </c>
      <c r="J89">
        <f>IF(ISBLANK(G89),AVERAGE(Table15[Performance Rating]),G89)</f>
        <v>4</v>
      </c>
      <c r="K89" t="str">
        <f t="shared" si="2"/>
        <v>Sam Wilson</v>
      </c>
      <c r="L89" t="str">
        <f>PROPER(Table15[[#This Row],[NAME2]])</f>
        <v>Sam Wilson</v>
      </c>
    </row>
    <row r="90" spans="1:12" hidden="1" x14ac:dyDescent="0.25">
      <c r="A90" t="s">
        <v>189</v>
      </c>
      <c r="B90" t="s">
        <v>41</v>
      </c>
      <c r="C90" t="s">
        <v>34</v>
      </c>
      <c r="E90">
        <v>63434</v>
      </c>
      <c r="F90" s="2">
        <v>42624</v>
      </c>
      <c r="G90">
        <v>3</v>
      </c>
      <c r="I90" t="s">
        <v>190</v>
      </c>
      <c r="J90">
        <f>IF(ISBLANK(G90),AVERAGE(Table15[Performance Rating]),G90)</f>
        <v>3</v>
      </c>
      <c r="K90" t="str">
        <f t="shared" si="2"/>
        <v>Chris Lee</v>
      </c>
      <c r="L90" t="str">
        <f>PROPER(Table15[[#This Row],[NAME2]])</f>
        <v>Chris Lee</v>
      </c>
    </row>
    <row r="91" spans="1:12" hidden="1" x14ac:dyDescent="0.25">
      <c r="A91" t="s">
        <v>191</v>
      </c>
      <c r="B91" t="s">
        <v>31</v>
      </c>
      <c r="D91" t="s">
        <v>64</v>
      </c>
      <c r="E91">
        <v>38830</v>
      </c>
      <c r="F91" s="2">
        <v>42631</v>
      </c>
      <c r="G91">
        <v>3</v>
      </c>
      <c r="H91" t="s">
        <v>19</v>
      </c>
      <c r="I91" t="s">
        <v>77</v>
      </c>
      <c r="J91">
        <f>IF(ISBLANK(G91),AVERAGE(Table15[Performance Rating]),G91)</f>
        <v>3</v>
      </c>
      <c r="K91" t="str">
        <f t="shared" si="2"/>
        <v>Jane Smith</v>
      </c>
      <c r="L91" t="str">
        <f>PROPER(Table15[[#This Row],[NAME2]])</f>
        <v>Jane Smith</v>
      </c>
    </row>
    <row r="92" spans="1:12" hidden="1" x14ac:dyDescent="0.25">
      <c r="A92" t="s">
        <v>192</v>
      </c>
      <c r="C92" t="s">
        <v>42</v>
      </c>
      <c r="D92" t="s">
        <v>47</v>
      </c>
      <c r="E92">
        <v>50741</v>
      </c>
      <c r="F92" s="2">
        <v>42638</v>
      </c>
      <c r="G92">
        <v>3</v>
      </c>
      <c r="H92" t="s">
        <v>13</v>
      </c>
      <c r="I92" t="s">
        <v>160</v>
      </c>
      <c r="J92">
        <f>IF(ISBLANK(G92),AVERAGE(Table15[Performance Rating]),G92)</f>
        <v>3</v>
      </c>
      <c r="K92" t="str">
        <f t="shared" si="2"/>
        <v>UNKNOWN</v>
      </c>
      <c r="L92" t="str">
        <f>PROPER(Table15[[#This Row],[NAME2]])</f>
        <v>Unknown</v>
      </c>
    </row>
    <row r="93" spans="1:12" hidden="1" x14ac:dyDescent="0.25">
      <c r="A93" t="s">
        <v>193</v>
      </c>
      <c r="B93" t="s">
        <v>22</v>
      </c>
      <c r="C93" t="s">
        <v>17</v>
      </c>
      <c r="D93" t="s">
        <v>64</v>
      </c>
      <c r="E93">
        <v>69420</v>
      </c>
      <c r="F93" s="2">
        <v>42645</v>
      </c>
      <c r="G93">
        <v>1</v>
      </c>
      <c r="H93" t="s">
        <v>28</v>
      </c>
      <c r="I93" t="s">
        <v>123</v>
      </c>
      <c r="J93">
        <f>IF(ISBLANK(G93),AVERAGE(Table15[Performance Rating]),G93)</f>
        <v>1</v>
      </c>
      <c r="K93" t="str">
        <f t="shared" si="2"/>
        <v>Alice Brown</v>
      </c>
      <c r="L93" t="str">
        <f>PROPER(Table15[[#This Row],[NAME2]])</f>
        <v>Alice Brown</v>
      </c>
    </row>
    <row r="94" spans="1:12" hidden="1" x14ac:dyDescent="0.25">
      <c r="A94" t="s">
        <v>194</v>
      </c>
      <c r="B94" t="s">
        <v>31</v>
      </c>
      <c r="C94" t="s">
        <v>34</v>
      </c>
      <c r="E94">
        <v>80588</v>
      </c>
      <c r="F94" s="2">
        <v>42652</v>
      </c>
      <c r="G94">
        <v>5</v>
      </c>
      <c r="H94" t="s">
        <v>28</v>
      </c>
      <c r="I94" t="s">
        <v>104</v>
      </c>
      <c r="J94">
        <f>IF(ISBLANK(G94),AVERAGE(Table15[Performance Rating]),G94)</f>
        <v>5</v>
      </c>
      <c r="K94" t="str">
        <f t="shared" si="2"/>
        <v>Jane Smith</v>
      </c>
      <c r="L94" t="str">
        <f>PROPER(Table15[[#This Row],[NAME2]])</f>
        <v>Jane Smith</v>
      </c>
    </row>
    <row r="95" spans="1:12" hidden="1" x14ac:dyDescent="0.25">
      <c r="A95" t="s">
        <v>195</v>
      </c>
      <c r="B95" t="s">
        <v>22</v>
      </c>
      <c r="D95" t="s">
        <v>27</v>
      </c>
      <c r="E95">
        <v>76238</v>
      </c>
      <c r="F95" s="2">
        <v>42659</v>
      </c>
      <c r="G95">
        <v>4</v>
      </c>
      <c r="H95" t="s">
        <v>28</v>
      </c>
      <c r="I95" t="s">
        <v>196</v>
      </c>
      <c r="J95">
        <f>IF(ISBLANK(G95),AVERAGE(Table15[Performance Rating]),G95)</f>
        <v>4</v>
      </c>
      <c r="K95" t="str">
        <f t="shared" si="2"/>
        <v>Alice Brown</v>
      </c>
      <c r="L95" t="str">
        <f>PROPER(Table15[[#This Row],[NAME2]])</f>
        <v>Alice Brown</v>
      </c>
    </row>
    <row r="96" spans="1:12" hidden="1" x14ac:dyDescent="0.25">
      <c r="A96" t="s">
        <v>197</v>
      </c>
      <c r="B96" t="s">
        <v>54</v>
      </c>
      <c r="C96" t="s">
        <v>34</v>
      </c>
      <c r="D96" t="s">
        <v>35</v>
      </c>
      <c r="E96">
        <v>33264</v>
      </c>
      <c r="F96" s="2">
        <v>42666</v>
      </c>
      <c r="H96" t="s">
        <v>36</v>
      </c>
      <c r="I96" t="s">
        <v>198</v>
      </c>
      <c r="J96">
        <f>IF(ISBLANK(G96),AVERAGE(Table15[Performance Rating]),G96)</f>
        <v>2.8719999999999999</v>
      </c>
      <c r="K96" t="str">
        <f t="shared" si="2"/>
        <v>Bob Johnson</v>
      </c>
      <c r="L96" t="str">
        <f>PROPER(Table15[[#This Row],[NAME2]])</f>
        <v>Bob Johnson</v>
      </c>
    </row>
    <row r="97" spans="1:12" hidden="1" x14ac:dyDescent="0.25">
      <c r="A97" t="s">
        <v>199</v>
      </c>
      <c r="B97" t="s">
        <v>22</v>
      </c>
      <c r="C97" t="s">
        <v>10</v>
      </c>
      <c r="D97" t="s">
        <v>64</v>
      </c>
      <c r="E97">
        <v>96101</v>
      </c>
      <c r="F97" s="2">
        <v>42673</v>
      </c>
      <c r="H97" t="s">
        <v>19</v>
      </c>
      <c r="I97" t="s">
        <v>200</v>
      </c>
      <c r="J97">
        <f>IF(ISBLANK(G97),AVERAGE(Table15[Performance Rating]),G97)</f>
        <v>2.8719999999999999</v>
      </c>
      <c r="K97" t="str">
        <f t="shared" si="2"/>
        <v>Alice Brown</v>
      </c>
      <c r="L97" t="str">
        <f>PROPER(Table15[[#This Row],[NAME2]])</f>
        <v>Alice Brown</v>
      </c>
    </row>
    <row r="98" spans="1:12" hidden="1" x14ac:dyDescent="0.25">
      <c r="A98" t="s">
        <v>201</v>
      </c>
      <c r="B98" t="s">
        <v>31</v>
      </c>
      <c r="C98" t="s">
        <v>10</v>
      </c>
      <c r="D98" t="s">
        <v>27</v>
      </c>
      <c r="E98">
        <v>72939</v>
      </c>
      <c r="F98" s="2">
        <v>42680</v>
      </c>
      <c r="G98">
        <v>3</v>
      </c>
      <c r="I98" t="s">
        <v>202</v>
      </c>
      <c r="J98">
        <f>IF(ISBLANK(G98),AVERAGE(Table15[Performance Rating]),G98)</f>
        <v>3</v>
      </c>
      <c r="K98" t="str">
        <f t="shared" ref="K98:K129" si="3">IF(ISBLANK(B98),"UNKNOWN",B98)</f>
        <v>Jane Smith</v>
      </c>
      <c r="L98" t="str">
        <f>PROPER(Table15[[#This Row],[NAME2]])</f>
        <v>Jane Smith</v>
      </c>
    </row>
    <row r="99" spans="1:12" hidden="1" x14ac:dyDescent="0.25">
      <c r="A99" t="s">
        <v>203</v>
      </c>
      <c r="B99" t="s">
        <v>39</v>
      </c>
      <c r="C99" t="s">
        <v>17</v>
      </c>
      <c r="D99" t="s">
        <v>18</v>
      </c>
      <c r="E99">
        <v>89333</v>
      </c>
      <c r="F99" s="2">
        <v>42687</v>
      </c>
      <c r="G99">
        <v>1</v>
      </c>
      <c r="H99" t="s">
        <v>28</v>
      </c>
      <c r="I99" t="s">
        <v>204</v>
      </c>
      <c r="J99">
        <f>IF(ISBLANK(G99),AVERAGE(Table15[Performance Rating]),G99)</f>
        <v>1</v>
      </c>
      <c r="K99" t="str">
        <f t="shared" si="3"/>
        <v>Sam Wilson</v>
      </c>
      <c r="L99" t="str">
        <f>PROPER(Table15[[#This Row],[NAME2]])</f>
        <v>Sam Wilson</v>
      </c>
    </row>
    <row r="100" spans="1:12" hidden="1" x14ac:dyDescent="0.25">
      <c r="A100" t="s">
        <v>205</v>
      </c>
      <c r="B100" t="s">
        <v>54</v>
      </c>
      <c r="C100" t="s">
        <v>34</v>
      </c>
      <c r="D100" t="s">
        <v>64</v>
      </c>
      <c r="E100">
        <v>70470</v>
      </c>
      <c r="F100" s="2">
        <v>42694</v>
      </c>
      <c r="H100" t="s">
        <v>28</v>
      </c>
      <c r="I100" t="s">
        <v>206</v>
      </c>
      <c r="J100">
        <f>IF(ISBLANK(G100),AVERAGE(Table15[Performance Rating]),G100)</f>
        <v>2.8719999999999999</v>
      </c>
      <c r="K100" t="str">
        <f t="shared" si="3"/>
        <v>Bob Johnson</v>
      </c>
      <c r="L100" t="str">
        <f>PROPER(Table15[[#This Row],[NAME2]])</f>
        <v>Bob Johnson</v>
      </c>
    </row>
    <row r="101" spans="1:12" hidden="1" x14ac:dyDescent="0.25">
      <c r="A101" t="s">
        <v>207</v>
      </c>
      <c r="B101" t="s">
        <v>16</v>
      </c>
      <c r="C101" t="s">
        <v>42</v>
      </c>
      <c r="D101" t="s">
        <v>27</v>
      </c>
      <c r="E101">
        <v>70096</v>
      </c>
      <c r="F101" s="2">
        <v>42701</v>
      </c>
      <c r="G101">
        <v>4</v>
      </c>
      <c r="H101" t="s">
        <v>28</v>
      </c>
      <c r="I101" t="s">
        <v>208</v>
      </c>
      <c r="J101">
        <f>IF(ISBLANK(G101),AVERAGE(Table15[Performance Rating]),G101)</f>
        <v>4</v>
      </c>
      <c r="K101" t="str">
        <f t="shared" si="3"/>
        <v>Eve Adams</v>
      </c>
      <c r="L101" t="str">
        <f>PROPER(Table15[[#This Row],[NAME2]])</f>
        <v>Eve Adams</v>
      </c>
    </row>
    <row r="102" spans="1:12" hidden="1" x14ac:dyDescent="0.25">
      <c r="A102" t="s">
        <v>209</v>
      </c>
      <c r="B102" t="s">
        <v>54</v>
      </c>
      <c r="C102" t="s">
        <v>42</v>
      </c>
      <c r="D102" t="s">
        <v>11</v>
      </c>
      <c r="E102">
        <v>66637</v>
      </c>
      <c r="F102" s="2">
        <v>42708</v>
      </c>
      <c r="G102">
        <v>2</v>
      </c>
      <c r="H102" t="s">
        <v>19</v>
      </c>
      <c r="I102" t="s">
        <v>210</v>
      </c>
      <c r="J102">
        <f>IF(ISBLANK(G102),AVERAGE(Table15[Performance Rating]),G102)</f>
        <v>2</v>
      </c>
      <c r="K102" t="str">
        <f t="shared" si="3"/>
        <v>Bob Johnson</v>
      </c>
      <c r="L102" t="str">
        <f>PROPER(Table15[[#This Row],[NAME2]])</f>
        <v>Bob Johnson</v>
      </c>
    </row>
    <row r="103" spans="1:12" hidden="1" x14ac:dyDescent="0.25">
      <c r="A103" t="s">
        <v>211</v>
      </c>
      <c r="B103" t="s">
        <v>54</v>
      </c>
      <c r="C103" t="s">
        <v>34</v>
      </c>
      <c r="D103" t="s">
        <v>18</v>
      </c>
      <c r="E103">
        <v>66503</v>
      </c>
      <c r="F103" s="2">
        <v>42715</v>
      </c>
      <c r="H103" t="s">
        <v>28</v>
      </c>
      <c r="I103" t="s">
        <v>71</v>
      </c>
      <c r="J103">
        <f>IF(ISBLANK(G103),AVERAGE(Table15[Performance Rating]),G103)</f>
        <v>2.8719999999999999</v>
      </c>
      <c r="K103" t="str">
        <f t="shared" si="3"/>
        <v>Bob Johnson</v>
      </c>
      <c r="L103" t="str">
        <f>PROPER(Table15[[#This Row],[NAME2]])</f>
        <v>Bob Johnson</v>
      </c>
    </row>
    <row r="104" spans="1:12" hidden="1" x14ac:dyDescent="0.25">
      <c r="A104" t="s">
        <v>212</v>
      </c>
      <c r="B104" t="s">
        <v>22</v>
      </c>
      <c r="C104" t="s">
        <v>17</v>
      </c>
      <c r="D104" t="s">
        <v>18</v>
      </c>
      <c r="E104">
        <v>42096</v>
      </c>
      <c r="F104" s="2">
        <v>42722</v>
      </c>
      <c r="H104" t="s">
        <v>36</v>
      </c>
      <c r="I104" t="s">
        <v>213</v>
      </c>
      <c r="J104">
        <f>IF(ISBLANK(G104),AVERAGE(Table15[Performance Rating]),G104)</f>
        <v>2.8719999999999999</v>
      </c>
      <c r="K104" t="str">
        <f t="shared" si="3"/>
        <v>Alice Brown</v>
      </c>
      <c r="L104" t="str">
        <f>PROPER(Table15[[#This Row],[NAME2]])</f>
        <v>Alice Brown</v>
      </c>
    </row>
    <row r="105" spans="1:12" hidden="1" x14ac:dyDescent="0.25">
      <c r="A105" t="s">
        <v>214</v>
      </c>
      <c r="B105" t="s">
        <v>22</v>
      </c>
      <c r="C105" t="s">
        <v>42</v>
      </c>
      <c r="E105">
        <v>79145</v>
      </c>
      <c r="F105" s="2">
        <v>42729</v>
      </c>
      <c r="G105">
        <v>5</v>
      </c>
      <c r="H105" t="s">
        <v>19</v>
      </c>
      <c r="I105" t="s">
        <v>118</v>
      </c>
      <c r="J105">
        <f>IF(ISBLANK(G105),AVERAGE(Table15[Performance Rating]),G105)</f>
        <v>5</v>
      </c>
      <c r="K105" t="str">
        <f t="shared" si="3"/>
        <v>Alice Brown</v>
      </c>
      <c r="L105" t="str">
        <f>PROPER(Table15[[#This Row],[NAME2]])</f>
        <v>Alice Brown</v>
      </c>
    </row>
    <row r="106" spans="1:12" x14ac:dyDescent="0.25">
      <c r="A106" t="s">
        <v>215</v>
      </c>
      <c r="B106" t="s">
        <v>31</v>
      </c>
      <c r="D106" t="s">
        <v>64</v>
      </c>
      <c r="E106">
        <v>61556</v>
      </c>
      <c r="F106" s="2">
        <v>42736</v>
      </c>
      <c r="G106">
        <v>1</v>
      </c>
      <c r="I106" t="s">
        <v>210</v>
      </c>
      <c r="J106">
        <f>IF(ISBLANK(G106),AVERAGE(Table15[Performance Rating]),G106)</f>
        <v>1</v>
      </c>
      <c r="K106" t="str">
        <f t="shared" si="3"/>
        <v>Jane Smith</v>
      </c>
      <c r="L106" t="str">
        <f>PROPER(Table15[[#This Row],[NAME2]])</f>
        <v>Jane Smith</v>
      </c>
    </row>
    <row r="107" spans="1:12" x14ac:dyDescent="0.25">
      <c r="A107" t="s">
        <v>216</v>
      </c>
      <c r="C107" t="s">
        <v>17</v>
      </c>
      <c r="D107" t="s">
        <v>47</v>
      </c>
      <c r="E107">
        <v>87963</v>
      </c>
      <c r="F107" s="2">
        <v>42743</v>
      </c>
      <c r="G107">
        <v>3</v>
      </c>
      <c r="H107" t="s">
        <v>19</v>
      </c>
      <c r="I107" t="s">
        <v>14</v>
      </c>
      <c r="J107">
        <f>IF(ISBLANK(G107),AVERAGE(Table15[Performance Rating]),G107)</f>
        <v>3</v>
      </c>
      <c r="K107" t="str">
        <f t="shared" si="3"/>
        <v>UNKNOWN</v>
      </c>
      <c r="L107" t="str">
        <f>PROPER(Table15[[#This Row],[NAME2]])</f>
        <v>Unknown</v>
      </c>
    </row>
    <row r="108" spans="1:12" x14ac:dyDescent="0.25">
      <c r="A108" t="s">
        <v>217</v>
      </c>
      <c r="B108" t="s">
        <v>16</v>
      </c>
      <c r="C108" t="s">
        <v>34</v>
      </c>
      <c r="E108">
        <v>48325</v>
      </c>
      <c r="F108" s="2">
        <v>42750</v>
      </c>
      <c r="H108" t="s">
        <v>28</v>
      </c>
      <c r="I108" t="s">
        <v>218</v>
      </c>
      <c r="J108">
        <f>IF(ISBLANK(G108),AVERAGE(Table15[Performance Rating]),G108)</f>
        <v>2.8719999999999999</v>
      </c>
      <c r="K108" t="str">
        <f t="shared" si="3"/>
        <v>Eve Adams</v>
      </c>
      <c r="L108" t="str">
        <f>PROPER(Table15[[#This Row],[NAME2]])</f>
        <v>Eve Adams</v>
      </c>
    </row>
    <row r="109" spans="1:12" x14ac:dyDescent="0.25">
      <c r="A109" t="s">
        <v>219</v>
      </c>
      <c r="B109" t="s">
        <v>39</v>
      </c>
      <c r="C109" t="s">
        <v>42</v>
      </c>
      <c r="D109" t="s">
        <v>64</v>
      </c>
      <c r="E109">
        <v>86412</v>
      </c>
      <c r="F109" s="2">
        <v>42757</v>
      </c>
      <c r="G109">
        <v>2</v>
      </c>
      <c r="H109" t="s">
        <v>36</v>
      </c>
      <c r="I109" t="s">
        <v>75</v>
      </c>
      <c r="J109">
        <f>IF(ISBLANK(G109),AVERAGE(Table15[Performance Rating]),G109)</f>
        <v>2</v>
      </c>
      <c r="K109" t="str">
        <f t="shared" si="3"/>
        <v>Sam Wilson</v>
      </c>
      <c r="L109" t="str">
        <f>PROPER(Table15[[#This Row],[NAME2]])</f>
        <v>Sam Wilson</v>
      </c>
    </row>
    <row r="110" spans="1:12" x14ac:dyDescent="0.25">
      <c r="A110" t="s">
        <v>220</v>
      </c>
      <c r="B110" t="s">
        <v>39</v>
      </c>
      <c r="C110" t="s">
        <v>17</v>
      </c>
      <c r="E110">
        <v>66761</v>
      </c>
      <c r="F110" s="2">
        <v>42764</v>
      </c>
      <c r="G110">
        <v>1</v>
      </c>
      <c r="I110" t="s">
        <v>221</v>
      </c>
      <c r="J110">
        <f>IF(ISBLANK(G110),AVERAGE(Table15[Performance Rating]),G110)</f>
        <v>1</v>
      </c>
      <c r="K110" t="str">
        <f t="shared" si="3"/>
        <v>Sam Wilson</v>
      </c>
      <c r="L110" t="str">
        <f>PROPER(Table15[[#This Row],[NAME2]])</f>
        <v>Sam Wilson</v>
      </c>
    </row>
    <row r="111" spans="1:12" x14ac:dyDescent="0.25">
      <c r="A111" t="s">
        <v>222</v>
      </c>
      <c r="B111" t="s">
        <v>31</v>
      </c>
      <c r="D111" t="s">
        <v>35</v>
      </c>
      <c r="E111">
        <v>88850</v>
      </c>
      <c r="F111" s="2">
        <v>42771</v>
      </c>
      <c r="G111">
        <v>1</v>
      </c>
      <c r="H111" t="s">
        <v>36</v>
      </c>
      <c r="I111" t="s">
        <v>223</v>
      </c>
      <c r="J111">
        <f>IF(ISBLANK(G111),AVERAGE(Table15[Performance Rating]),G111)</f>
        <v>1</v>
      </c>
      <c r="K111" t="str">
        <f t="shared" si="3"/>
        <v>Jane Smith</v>
      </c>
      <c r="L111" t="str">
        <f>PROPER(Table15[[#This Row],[NAME2]])</f>
        <v>Jane Smith</v>
      </c>
    </row>
    <row r="112" spans="1:12" hidden="1" x14ac:dyDescent="0.25">
      <c r="A112" t="s">
        <v>224</v>
      </c>
      <c r="B112" t="s">
        <v>41</v>
      </c>
      <c r="C112" t="s">
        <v>26</v>
      </c>
      <c r="D112" t="s">
        <v>35</v>
      </c>
      <c r="E112">
        <v>31293</v>
      </c>
      <c r="G112">
        <v>2</v>
      </c>
      <c r="H112" t="s">
        <v>36</v>
      </c>
      <c r="I112" t="s">
        <v>225</v>
      </c>
      <c r="J112">
        <f>IF(ISBLANK(G112),AVERAGE(Table15[Performance Rating]),G112)</f>
        <v>2</v>
      </c>
      <c r="K112" t="str">
        <f t="shared" si="3"/>
        <v>Chris Lee</v>
      </c>
      <c r="L112" t="str">
        <f>PROPER(Table15[[#This Row],[NAME2]])</f>
        <v>Chris Lee</v>
      </c>
    </row>
    <row r="113" spans="1:12" x14ac:dyDescent="0.25">
      <c r="A113" t="s">
        <v>226</v>
      </c>
      <c r="B113" t="s">
        <v>41</v>
      </c>
      <c r="C113" t="s">
        <v>34</v>
      </c>
      <c r="D113" t="s">
        <v>27</v>
      </c>
      <c r="E113">
        <v>34306</v>
      </c>
      <c r="F113" s="2">
        <v>42785</v>
      </c>
      <c r="G113">
        <v>5</v>
      </c>
      <c r="H113" t="s">
        <v>36</v>
      </c>
      <c r="I113" t="s">
        <v>157</v>
      </c>
      <c r="J113">
        <f>IF(ISBLANK(G113),AVERAGE(Table15[Performance Rating]),G113)</f>
        <v>5</v>
      </c>
      <c r="K113" t="str">
        <f t="shared" si="3"/>
        <v>Chris Lee</v>
      </c>
      <c r="L113" t="str">
        <f>PROPER(Table15[[#This Row],[NAME2]])</f>
        <v>Chris Lee</v>
      </c>
    </row>
    <row r="114" spans="1:12" x14ac:dyDescent="0.25">
      <c r="A114" t="s">
        <v>227</v>
      </c>
      <c r="B114" t="s">
        <v>16</v>
      </c>
      <c r="C114" t="s">
        <v>10</v>
      </c>
      <c r="D114" t="s">
        <v>35</v>
      </c>
      <c r="E114">
        <v>78330</v>
      </c>
      <c r="F114" s="2">
        <v>42792</v>
      </c>
      <c r="H114" t="s">
        <v>19</v>
      </c>
      <c r="I114" t="s">
        <v>208</v>
      </c>
      <c r="J114">
        <f>IF(ISBLANK(G114),AVERAGE(Table15[Performance Rating]),G114)</f>
        <v>2.8719999999999999</v>
      </c>
      <c r="K114" t="str">
        <f t="shared" si="3"/>
        <v>Eve Adams</v>
      </c>
      <c r="L114" t="str">
        <f>PROPER(Table15[[#This Row],[NAME2]])</f>
        <v>Eve Adams</v>
      </c>
    </row>
    <row r="115" spans="1:12" x14ac:dyDescent="0.25">
      <c r="A115" t="s">
        <v>228</v>
      </c>
      <c r="B115" t="s">
        <v>22</v>
      </c>
      <c r="C115" t="s">
        <v>34</v>
      </c>
      <c r="D115" t="s">
        <v>27</v>
      </c>
      <c r="E115">
        <v>47653</v>
      </c>
      <c r="F115" s="2">
        <v>42799</v>
      </c>
      <c r="G115">
        <v>1</v>
      </c>
      <c r="H115" t="s">
        <v>28</v>
      </c>
      <c r="I115" t="s">
        <v>229</v>
      </c>
      <c r="J115">
        <f>IF(ISBLANK(G115),AVERAGE(Table15[Performance Rating]),G115)</f>
        <v>1</v>
      </c>
      <c r="K115" t="str">
        <f t="shared" si="3"/>
        <v>Alice Brown</v>
      </c>
      <c r="L115" t="str">
        <f>PROPER(Table15[[#This Row],[NAME2]])</f>
        <v>Alice Brown</v>
      </c>
    </row>
    <row r="116" spans="1:12" x14ac:dyDescent="0.25">
      <c r="A116" t="s">
        <v>230</v>
      </c>
      <c r="B116" t="s">
        <v>16</v>
      </c>
      <c r="C116" t="s">
        <v>42</v>
      </c>
      <c r="D116" t="s">
        <v>47</v>
      </c>
      <c r="E116">
        <v>44627</v>
      </c>
      <c r="F116" s="2">
        <v>42806</v>
      </c>
      <c r="G116">
        <v>4</v>
      </c>
      <c r="I116" t="s">
        <v>149</v>
      </c>
      <c r="J116">
        <f>IF(ISBLANK(G116),AVERAGE(Table15[Performance Rating]),G116)</f>
        <v>4</v>
      </c>
      <c r="K116" t="str">
        <f t="shared" si="3"/>
        <v>Eve Adams</v>
      </c>
      <c r="L116" t="str">
        <f>PROPER(Table15[[#This Row],[NAME2]])</f>
        <v>Eve Adams</v>
      </c>
    </row>
    <row r="117" spans="1:12" x14ac:dyDescent="0.25">
      <c r="A117" t="s">
        <v>231</v>
      </c>
      <c r="B117" t="s">
        <v>54</v>
      </c>
      <c r="C117" t="s">
        <v>17</v>
      </c>
      <c r="D117" t="s">
        <v>18</v>
      </c>
      <c r="E117">
        <v>92343</v>
      </c>
      <c r="F117" s="2">
        <v>42813</v>
      </c>
      <c r="G117">
        <v>4</v>
      </c>
      <c r="H117" t="s">
        <v>36</v>
      </c>
      <c r="I117" t="s">
        <v>77</v>
      </c>
      <c r="J117">
        <f>IF(ISBLANK(G117),AVERAGE(Table15[Performance Rating]),G117)</f>
        <v>4</v>
      </c>
      <c r="K117" t="str">
        <f t="shared" si="3"/>
        <v>Bob Johnson</v>
      </c>
      <c r="L117" t="str">
        <f>PROPER(Table15[[#This Row],[NAME2]])</f>
        <v>Bob Johnson</v>
      </c>
    </row>
    <row r="118" spans="1:12" x14ac:dyDescent="0.25">
      <c r="A118" t="s">
        <v>232</v>
      </c>
      <c r="B118" t="s">
        <v>54</v>
      </c>
      <c r="C118" t="s">
        <v>42</v>
      </c>
      <c r="D118" t="s">
        <v>64</v>
      </c>
      <c r="E118">
        <v>38837</v>
      </c>
      <c r="F118" s="2">
        <v>42820</v>
      </c>
      <c r="G118">
        <v>5</v>
      </c>
      <c r="H118" t="s">
        <v>36</v>
      </c>
      <c r="I118" t="s">
        <v>157</v>
      </c>
      <c r="J118">
        <f>IF(ISBLANK(G118),AVERAGE(Table15[Performance Rating]),G118)</f>
        <v>5</v>
      </c>
      <c r="K118" t="str">
        <f t="shared" si="3"/>
        <v>Bob Johnson</v>
      </c>
      <c r="L118" t="str">
        <f>PROPER(Table15[[#This Row],[NAME2]])</f>
        <v>Bob Johnson</v>
      </c>
    </row>
    <row r="119" spans="1:12" x14ac:dyDescent="0.25">
      <c r="A119" t="s">
        <v>233</v>
      </c>
      <c r="B119" t="s">
        <v>54</v>
      </c>
      <c r="C119" t="s">
        <v>42</v>
      </c>
      <c r="E119">
        <v>73483</v>
      </c>
      <c r="F119" s="2">
        <v>42827</v>
      </c>
      <c r="G119">
        <v>1</v>
      </c>
      <c r="I119" t="s">
        <v>234</v>
      </c>
      <c r="J119">
        <f>IF(ISBLANK(G119),AVERAGE(Table15[Performance Rating]),G119)</f>
        <v>1</v>
      </c>
      <c r="K119" t="str">
        <f t="shared" si="3"/>
        <v>Bob Johnson</v>
      </c>
      <c r="L119" t="str">
        <f>PROPER(Table15[[#This Row],[NAME2]])</f>
        <v>Bob Johnson</v>
      </c>
    </row>
    <row r="120" spans="1:12" x14ac:dyDescent="0.25">
      <c r="A120" t="s">
        <v>235</v>
      </c>
      <c r="B120" t="s">
        <v>41</v>
      </c>
      <c r="C120" t="s">
        <v>26</v>
      </c>
      <c r="D120" t="s">
        <v>35</v>
      </c>
      <c r="E120">
        <v>95032</v>
      </c>
      <c r="F120" s="2">
        <v>42834</v>
      </c>
      <c r="G120">
        <v>3</v>
      </c>
      <c r="I120" t="s">
        <v>236</v>
      </c>
      <c r="J120">
        <f>IF(ISBLANK(G120),AVERAGE(Table15[Performance Rating]),G120)</f>
        <v>3</v>
      </c>
      <c r="K120" t="str">
        <f t="shared" si="3"/>
        <v>Chris Lee</v>
      </c>
      <c r="L120" t="str">
        <f>PROPER(Table15[[#This Row],[NAME2]])</f>
        <v>Chris Lee</v>
      </c>
    </row>
    <row r="121" spans="1:12" x14ac:dyDescent="0.25">
      <c r="A121" t="s">
        <v>237</v>
      </c>
      <c r="B121" t="s">
        <v>16</v>
      </c>
      <c r="C121" t="s">
        <v>26</v>
      </c>
      <c r="D121" t="s">
        <v>64</v>
      </c>
      <c r="E121">
        <v>44358</v>
      </c>
      <c r="F121" s="2">
        <v>42841</v>
      </c>
      <c r="H121" t="s">
        <v>36</v>
      </c>
      <c r="I121" t="s">
        <v>71</v>
      </c>
      <c r="J121">
        <f>IF(ISBLANK(G121),AVERAGE(Table15[Performance Rating]),G121)</f>
        <v>2.8719999999999999</v>
      </c>
      <c r="K121" t="str">
        <f t="shared" si="3"/>
        <v>Eve Adams</v>
      </c>
      <c r="L121" t="str">
        <f>PROPER(Table15[[#This Row],[NAME2]])</f>
        <v>Eve Adams</v>
      </c>
    </row>
    <row r="122" spans="1:12" hidden="1" x14ac:dyDescent="0.25">
      <c r="A122" t="s">
        <v>238</v>
      </c>
      <c r="C122" t="s">
        <v>34</v>
      </c>
      <c r="D122" t="s">
        <v>27</v>
      </c>
      <c r="E122">
        <v>66637</v>
      </c>
      <c r="G122">
        <v>5</v>
      </c>
      <c r="H122" t="s">
        <v>13</v>
      </c>
      <c r="I122" t="s">
        <v>239</v>
      </c>
      <c r="J122">
        <f>IF(ISBLANK(G122),AVERAGE(Table15[Performance Rating]),G122)</f>
        <v>5</v>
      </c>
      <c r="K122" t="str">
        <f t="shared" si="3"/>
        <v>UNKNOWN</v>
      </c>
      <c r="L122" t="str">
        <f>PROPER(Table15[[#This Row],[NAME2]])</f>
        <v>Unknown</v>
      </c>
    </row>
    <row r="123" spans="1:12" x14ac:dyDescent="0.25">
      <c r="A123" t="s">
        <v>240</v>
      </c>
      <c r="B123" t="s">
        <v>41</v>
      </c>
      <c r="C123" t="s">
        <v>26</v>
      </c>
      <c r="D123" t="s">
        <v>27</v>
      </c>
      <c r="E123">
        <v>45676</v>
      </c>
      <c r="F123" s="2">
        <v>42855</v>
      </c>
      <c r="G123">
        <v>2</v>
      </c>
      <c r="I123" t="s">
        <v>241</v>
      </c>
      <c r="J123">
        <f>IF(ISBLANK(G123),AVERAGE(Table15[Performance Rating]),G123)</f>
        <v>2</v>
      </c>
      <c r="K123" t="str">
        <f t="shared" si="3"/>
        <v>Chris Lee</v>
      </c>
      <c r="L123" t="str">
        <f>PROPER(Table15[[#This Row],[NAME2]])</f>
        <v>Chris Lee</v>
      </c>
    </row>
    <row r="124" spans="1:12" x14ac:dyDescent="0.25">
      <c r="A124" t="s">
        <v>242</v>
      </c>
      <c r="B124" t="s">
        <v>54</v>
      </c>
      <c r="C124" t="s">
        <v>26</v>
      </c>
      <c r="D124" t="s">
        <v>18</v>
      </c>
      <c r="E124">
        <v>52036</v>
      </c>
      <c r="F124" s="2">
        <v>42862</v>
      </c>
      <c r="G124">
        <v>3</v>
      </c>
      <c r="H124" t="s">
        <v>28</v>
      </c>
      <c r="I124" t="s">
        <v>243</v>
      </c>
      <c r="J124">
        <f>IF(ISBLANK(G124),AVERAGE(Table15[Performance Rating]),G124)</f>
        <v>3</v>
      </c>
      <c r="K124" t="str">
        <f t="shared" si="3"/>
        <v>Bob Johnson</v>
      </c>
      <c r="L124" t="str">
        <f>PROPER(Table15[[#This Row],[NAME2]])</f>
        <v>Bob Johnson</v>
      </c>
    </row>
    <row r="125" spans="1:12" x14ac:dyDescent="0.25">
      <c r="A125" t="s">
        <v>244</v>
      </c>
      <c r="B125" t="s">
        <v>31</v>
      </c>
      <c r="D125" t="s">
        <v>18</v>
      </c>
      <c r="E125">
        <v>30357</v>
      </c>
      <c r="F125" s="2">
        <v>42869</v>
      </c>
      <c r="G125">
        <v>5</v>
      </c>
      <c r="H125" t="s">
        <v>28</v>
      </c>
      <c r="I125" t="s">
        <v>182</v>
      </c>
      <c r="J125">
        <f>IF(ISBLANK(G125),AVERAGE(Table15[Performance Rating]),G125)</f>
        <v>5</v>
      </c>
      <c r="K125" t="str">
        <f t="shared" si="3"/>
        <v>Jane Smith</v>
      </c>
      <c r="L125" t="str">
        <f>PROPER(Table15[[#This Row],[NAME2]])</f>
        <v>Jane Smith</v>
      </c>
    </row>
    <row r="126" spans="1:12" x14ac:dyDescent="0.25">
      <c r="A126" t="s">
        <v>245</v>
      </c>
      <c r="B126" t="s">
        <v>25</v>
      </c>
      <c r="C126" t="s">
        <v>34</v>
      </c>
      <c r="E126">
        <v>60034</v>
      </c>
      <c r="F126" s="2">
        <v>42876</v>
      </c>
      <c r="G126">
        <v>1</v>
      </c>
      <c r="H126" t="s">
        <v>36</v>
      </c>
      <c r="I126" t="s">
        <v>246</v>
      </c>
      <c r="J126">
        <f>IF(ISBLANK(G126),AVERAGE(Table15[Performance Rating]),G126)</f>
        <v>1</v>
      </c>
      <c r="K126" t="str">
        <f t="shared" si="3"/>
        <v>John Doe</v>
      </c>
      <c r="L126" t="str">
        <f>PROPER(Table15[[#This Row],[NAME2]])</f>
        <v>John Doe</v>
      </c>
    </row>
    <row r="127" spans="1:12" x14ac:dyDescent="0.25">
      <c r="A127" t="s">
        <v>247</v>
      </c>
      <c r="B127" t="s">
        <v>25</v>
      </c>
      <c r="C127" t="s">
        <v>10</v>
      </c>
      <c r="D127" t="s">
        <v>11</v>
      </c>
      <c r="E127">
        <v>90019</v>
      </c>
      <c r="F127" s="2">
        <v>42883</v>
      </c>
      <c r="G127">
        <v>5</v>
      </c>
      <c r="I127" t="s">
        <v>248</v>
      </c>
      <c r="J127">
        <f>IF(ISBLANK(G127),AVERAGE(Table15[Performance Rating]),G127)</f>
        <v>5</v>
      </c>
      <c r="K127" t="str">
        <f t="shared" si="3"/>
        <v>John Doe</v>
      </c>
      <c r="L127" t="str">
        <f>PROPER(Table15[[#This Row],[NAME2]])</f>
        <v>John Doe</v>
      </c>
    </row>
    <row r="128" spans="1:12" x14ac:dyDescent="0.25">
      <c r="A128" t="s">
        <v>249</v>
      </c>
      <c r="B128" t="s">
        <v>54</v>
      </c>
      <c r="D128" t="s">
        <v>18</v>
      </c>
      <c r="E128">
        <v>71494</v>
      </c>
      <c r="F128" s="2">
        <v>42890</v>
      </c>
      <c r="G128">
        <v>3</v>
      </c>
      <c r="H128" t="s">
        <v>28</v>
      </c>
      <c r="I128" t="s">
        <v>250</v>
      </c>
      <c r="J128">
        <f>IF(ISBLANK(G128),AVERAGE(Table15[Performance Rating]),G128)</f>
        <v>3</v>
      </c>
      <c r="K128" t="str">
        <f t="shared" si="3"/>
        <v>Bob Johnson</v>
      </c>
      <c r="L128" t="str">
        <f>PROPER(Table15[[#This Row],[NAME2]])</f>
        <v>Bob Johnson</v>
      </c>
    </row>
    <row r="129" spans="1:12" x14ac:dyDescent="0.25">
      <c r="A129" t="s">
        <v>251</v>
      </c>
      <c r="B129" t="s">
        <v>25</v>
      </c>
      <c r="C129" t="s">
        <v>10</v>
      </c>
      <c r="D129" t="s">
        <v>27</v>
      </c>
      <c r="E129">
        <v>91953</v>
      </c>
      <c r="F129" s="2">
        <v>42897</v>
      </c>
      <c r="G129">
        <v>2</v>
      </c>
      <c r="H129" t="s">
        <v>28</v>
      </c>
      <c r="I129" t="s">
        <v>89</v>
      </c>
      <c r="J129">
        <f>IF(ISBLANK(G129),AVERAGE(Table15[Performance Rating]),G129)</f>
        <v>2</v>
      </c>
      <c r="K129" t="str">
        <f t="shared" si="3"/>
        <v>John Doe</v>
      </c>
      <c r="L129" t="str">
        <f>PROPER(Table15[[#This Row],[NAME2]])</f>
        <v>John Doe</v>
      </c>
    </row>
    <row r="130" spans="1:12" x14ac:dyDescent="0.25">
      <c r="A130" t="s">
        <v>252</v>
      </c>
      <c r="B130" t="s">
        <v>41</v>
      </c>
      <c r="C130" t="s">
        <v>26</v>
      </c>
      <c r="D130" t="s">
        <v>27</v>
      </c>
      <c r="E130">
        <v>30402</v>
      </c>
      <c r="F130" s="2">
        <v>42904</v>
      </c>
      <c r="G130">
        <v>1</v>
      </c>
      <c r="I130" t="s">
        <v>253</v>
      </c>
      <c r="J130">
        <f>IF(ISBLANK(G130),AVERAGE(Table15[Performance Rating]),G130)</f>
        <v>1</v>
      </c>
      <c r="K130" t="str">
        <f t="shared" ref="K130:K151" si="4">IF(ISBLANK(B130),"UNKNOWN",B130)</f>
        <v>Chris Lee</v>
      </c>
      <c r="L130" t="str">
        <f>PROPER(Table15[[#This Row],[NAME2]])</f>
        <v>Chris Lee</v>
      </c>
    </row>
    <row r="131" spans="1:12" x14ac:dyDescent="0.25">
      <c r="A131" t="s">
        <v>254</v>
      </c>
      <c r="B131" t="s">
        <v>54</v>
      </c>
      <c r="D131" t="s">
        <v>47</v>
      </c>
      <c r="E131">
        <v>62994</v>
      </c>
      <c r="F131" s="2">
        <v>42911</v>
      </c>
      <c r="I131" t="s">
        <v>114</v>
      </c>
      <c r="J131">
        <f>IF(ISBLANK(G131),AVERAGE(Table15[Performance Rating]),G131)</f>
        <v>2.8719999999999999</v>
      </c>
      <c r="K131" t="str">
        <f t="shared" si="4"/>
        <v>Bob Johnson</v>
      </c>
      <c r="L131" t="str">
        <f>PROPER(Table15[[#This Row],[NAME2]])</f>
        <v>Bob Johnson</v>
      </c>
    </row>
    <row r="132" spans="1:12" hidden="1" x14ac:dyDescent="0.25">
      <c r="A132" t="s">
        <v>255</v>
      </c>
      <c r="B132" t="s">
        <v>22</v>
      </c>
      <c r="C132" t="s">
        <v>26</v>
      </c>
      <c r="D132" t="s">
        <v>35</v>
      </c>
      <c r="E132">
        <v>48289</v>
      </c>
      <c r="G132">
        <v>3</v>
      </c>
      <c r="H132" t="s">
        <v>28</v>
      </c>
      <c r="I132" t="s">
        <v>45</v>
      </c>
      <c r="J132">
        <f>IF(ISBLANK(G132),AVERAGE(Table15[Performance Rating]),G132)</f>
        <v>3</v>
      </c>
      <c r="K132" t="str">
        <f t="shared" si="4"/>
        <v>Alice Brown</v>
      </c>
      <c r="L132" t="str">
        <f>PROPER(Table15[[#This Row],[NAME2]])</f>
        <v>Alice Brown</v>
      </c>
    </row>
    <row r="133" spans="1:12" x14ac:dyDescent="0.25">
      <c r="A133" t="s">
        <v>256</v>
      </c>
      <c r="B133" t="s">
        <v>39</v>
      </c>
      <c r="C133" t="s">
        <v>42</v>
      </c>
      <c r="D133" t="s">
        <v>18</v>
      </c>
      <c r="E133">
        <v>34402</v>
      </c>
      <c r="F133" s="2">
        <v>42925</v>
      </c>
      <c r="G133">
        <v>3</v>
      </c>
      <c r="H133" t="s">
        <v>19</v>
      </c>
      <c r="I133" t="s">
        <v>108</v>
      </c>
      <c r="J133">
        <f>IF(ISBLANK(G133),AVERAGE(Table15[Performance Rating]),G133)</f>
        <v>3</v>
      </c>
      <c r="K133" t="str">
        <f t="shared" si="4"/>
        <v>Sam Wilson</v>
      </c>
      <c r="L133" t="str">
        <f>PROPER(Table15[[#This Row],[NAME2]])</f>
        <v>Sam Wilson</v>
      </c>
    </row>
    <row r="134" spans="1:12" x14ac:dyDescent="0.25">
      <c r="A134" t="s">
        <v>257</v>
      </c>
      <c r="B134" t="s">
        <v>16</v>
      </c>
      <c r="C134" t="s">
        <v>17</v>
      </c>
      <c r="D134" t="s">
        <v>27</v>
      </c>
      <c r="E134">
        <v>38678</v>
      </c>
      <c r="F134" s="2">
        <v>42932</v>
      </c>
      <c r="G134">
        <v>3</v>
      </c>
      <c r="H134" t="s">
        <v>19</v>
      </c>
      <c r="I134" t="s">
        <v>258</v>
      </c>
      <c r="J134">
        <f>IF(ISBLANK(G134),AVERAGE(Table15[Performance Rating]),G134)</f>
        <v>3</v>
      </c>
      <c r="K134" t="str">
        <f t="shared" si="4"/>
        <v>Eve Adams</v>
      </c>
      <c r="L134" t="str">
        <f>PROPER(Table15[[#This Row],[NAME2]])</f>
        <v>Eve Adams</v>
      </c>
    </row>
    <row r="135" spans="1:12" x14ac:dyDescent="0.25">
      <c r="A135" t="s">
        <v>259</v>
      </c>
      <c r="B135" t="s">
        <v>41</v>
      </c>
      <c r="C135" t="s">
        <v>17</v>
      </c>
      <c r="D135" t="s">
        <v>18</v>
      </c>
      <c r="E135">
        <v>45758</v>
      </c>
      <c r="F135" s="2">
        <v>42939</v>
      </c>
      <c r="G135">
        <v>3</v>
      </c>
      <c r="I135" t="s">
        <v>225</v>
      </c>
      <c r="J135">
        <f>IF(ISBLANK(G135),AVERAGE(Table15[Performance Rating]),G135)</f>
        <v>3</v>
      </c>
      <c r="K135" t="str">
        <f t="shared" si="4"/>
        <v>Chris Lee</v>
      </c>
      <c r="L135" t="str">
        <f>PROPER(Table15[[#This Row],[NAME2]])</f>
        <v>Chris Lee</v>
      </c>
    </row>
    <row r="136" spans="1:12" x14ac:dyDescent="0.25">
      <c r="A136" t="s">
        <v>260</v>
      </c>
      <c r="B136" t="s">
        <v>16</v>
      </c>
      <c r="C136" t="s">
        <v>42</v>
      </c>
      <c r="D136" t="s">
        <v>35</v>
      </c>
      <c r="E136">
        <v>62476</v>
      </c>
      <c r="F136" s="2">
        <v>42946</v>
      </c>
      <c r="G136">
        <v>1</v>
      </c>
      <c r="H136" t="s">
        <v>19</v>
      </c>
      <c r="I136" t="s">
        <v>138</v>
      </c>
      <c r="J136">
        <f>IF(ISBLANK(G136),AVERAGE(Table15[Performance Rating]),G136)</f>
        <v>1</v>
      </c>
      <c r="K136" t="str">
        <f t="shared" si="4"/>
        <v>Eve Adams</v>
      </c>
      <c r="L136" t="str">
        <f>PROPER(Table15[[#This Row],[NAME2]])</f>
        <v>Eve Adams</v>
      </c>
    </row>
    <row r="137" spans="1:12" x14ac:dyDescent="0.25">
      <c r="A137" t="s">
        <v>261</v>
      </c>
      <c r="C137" t="s">
        <v>34</v>
      </c>
      <c r="D137" t="s">
        <v>47</v>
      </c>
      <c r="E137">
        <v>39280</v>
      </c>
      <c r="F137" s="2">
        <v>42953</v>
      </c>
      <c r="G137">
        <v>3</v>
      </c>
      <c r="H137" t="s">
        <v>36</v>
      </c>
      <c r="I137" t="s">
        <v>99</v>
      </c>
      <c r="J137">
        <f>IF(ISBLANK(G137),AVERAGE(Table15[Performance Rating]),G137)</f>
        <v>3</v>
      </c>
      <c r="K137" t="str">
        <f t="shared" si="4"/>
        <v>UNKNOWN</v>
      </c>
      <c r="L137" t="str">
        <f>PROPER(Table15[[#This Row],[NAME2]])</f>
        <v>Unknown</v>
      </c>
    </row>
    <row r="138" spans="1:12" x14ac:dyDescent="0.25">
      <c r="A138" t="s">
        <v>262</v>
      </c>
      <c r="B138" t="s">
        <v>31</v>
      </c>
      <c r="C138" t="s">
        <v>10</v>
      </c>
      <c r="D138" t="s">
        <v>35</v>
      </c>
      <c r="E138">
        <v>60335</v>
      </c>
      <c r="F138" s="2">
        <v>42960</v>
      </c>
      <c r="G138">
        <v>4</v>
      </c>
      <c r="H138" t="s">
        <v>19</v>
      </c>
      <c r="I138" t="s">
        <v>129</v>
      </c>
      <c r="J138">
        <f>IF(ISBLANK(G138),AVERAGE(Table15[Performance Rating]),G138)</f>
        <v>4</v>
      </c>
      <c r="K138" t="str">
        <f t="shared" si="4"/>
        <v>Jane Smith</v>
      </c>
      <c r="L138" t="str">
        <f>PROPER(Table15[[#This Row],[NAME2]])</f>
        <v>Jane Smith</v>
      </c>
    </row>
    <row r="139" spans="1:12" x14ac:dyDescent="0.25">
      <c r="A139" t="s">
        <v>263</v>
      </c>
      <c r="B139" t="s">
        <v>41</v>
      </c>
      <c r="C139" t="s">
        <v>17</v>
      </c>
      <c r="D139" t="s">
        <v>18</v>
      </c>
      <c r="E139">
        <v>84968</v>
      </c>
      <c r="F139" s="2">
        <v>42967</v>
      </c>
      <c r="I139" t="s">
        <v>264</v>
      </c>
      <c r="J139">
        <f>IF(ISBLANK(G139),AVERAGE(Table15[Performance Rating]),G139)</f>
        <v>2.8719999999999999</v>
      </c>
      <c r="K139" t="str">
        <f t="shared" si="4"/>
        <v>Chris Lee</v>
      </c>
      <c r="L139" t="str">
        <f>PROPER(Table15[[#This Row],[NAME2]])</f>
        <v>Chris Lee</v>
      </c>
    </row>
    <row r="140" spans="1:12" x14ac:dyDescent="0.25">
      <c r="A140" t="s">
        <v>265</v>
      </c>
      <c r="B140" t="s">
        <v>41</v>
      </c>
      <c r="C140" t="s">
        <v>42</v>
      </c>
      <c r="D140" t="s">
        <v>64</v>
      </c>
      <c r="E140">
        <v>84750</v>
      </c>
      <c r="F140" s="2">
        <v>42974</v>
      </c>
      <c r="G140">
        <v>4</v>
      </c>
      <c r="H140" t="s">
        <v>36</v>
      </c>
      <c r="I140" t="s">
        <v>60</v>
      </c>
      <c r="J140">
        <f>IF(ISBLANK(G140),AVERAGE(Table15[Performance Rating]),G140)</f>
        <v>4</v>
      </c>
      <c r="K140" t="str">
        <f t="shared" si="4"/>
        <v>Chris Lee</v>
      </c>
      <c r="L140" t="str">
        <f>PROPER(Table15[[#This Row],[NAME2]])</f>
        <v>Chris Lee</v>
      </c>
    </row>
    <row r="141" spans="1:12" x14ac:dyDescent="0.25">
      <c r="A141" t="s">
        <v>266</v>
      </c>
      <c r="B141" t="s">
        <v>54</v>
      </c>
      <c r="C141" t="s">
        <v>34</v>
      </c>
      <c r="E141">
        <v>73348</v>
      </c>
      <c r="F141" s="2">
        <v>42981</v>
      </c>
      <c r="G141">
        <v>2</v>
      </c>
      <c r="I141" t="s">
        <v>171</v>
      </c>
      <c r="J141">
        <f>IF(ISBLANK(G141),AVERAGE(Table15[Performance Rating]),G141)</f>
        <v>2</v>
      </c>
      <c r="K141" t="str">
        <f t="shared" si="4"/>
        <v>Bob Johnson</v>
      </c>
      <c r="L141" t="str">
        <f>PROPER(Table15[[#This Row],[NAME2]])</f>
        <v>Bob Johnson</v>
      </c>
    </row>
    <row r="142" spans="1:12" x14ac:dyDescent="0.25">
      <c r="A142" t="s">
        <v>267</v>
      </c>
      <c r="B142" t="s">
        <v>41</v>
      </c>
      <c r="C142" t="s">
        <v>26</v>
      </c>
      <c r="D142" t="s">
        <v>27</v>
      </c>
      <c r="E142">
        <v>66637</v>
      </c>
      <c r="F142" s="2">
        <v>42988</v>
      </c>
      <c r="G142">
        <v>4</v>
      </c>
      <c r="H142" t="s">
        <v>19</v>
      </c>
      <c r="I142" t="s">
        <v>14</v>
      </c>
      <c r="J142">
        <f>IF(ISBLANK(G142),AVERAGE(Table15[Performance Rating]),G142)</f>
        <v>4</v>
      </c>
      <c r="K142" t="str">
        <f t="shared" si="4"/>
        <v>Chris Lee</v>
      </c>
      <c r="L142" t="str">
        <f>PROPER(Table15[[#This Row],[NAME2]])</f>
        <v>Chris Lee</v>
      </c>
    </row>
    <row r="143" spans="1:12" x14ac:dyDescent="0.25">
      <c r="A143" t="s">
        <v>268</v>
      </c>
      <c r="B143" t="s">
        <v>31</v>
      </c>
      <c r="C143" t="s">
        <v>42</v>
      </c>
      <c r="D143" t="s">
        <v>27</v>
      </c>
      <c r="E143">
        <v>66882</v>
      </c>
      <c r="F143" s="2">
        <v>42995</v>
      </c>
      <c r="G143">
        <v>5</v>
      </c>
      <c r="H143" t="s">
        <v>19</v>
      </c>
      <c r="I143" t="s">
        <v>85</v>
      </c>
      <c r="J143">
        <f>IF(ISBLANK(G143),AVERAGE(Table15[Performance Rating]),G143)</f>
        <v>5</v>
      </c>
      <c r="K143" t="str">
        <f t="shared" si="4"/>
        <v>Jane Smith</v>
      </c>
      <c r="L143" t="str">
        <f>PROPER(Table15[[#This Row],[NAME2]])</f>
        <v>Jane Smith</v>
      </c>
    </row>
    <row r="144" spans="1:12" x14ac:dyDescent="0.25">
      <c r="A144" t="s">
        <v>269</v>
      </c>
      <c r="B144" t="s">
        <v>22</v>
      </c>
      <c r="C144" t="s">
        <v>42</v>
      </c>
      <c r="E144">
        <v>86775</v>
      </c>
      <c r="F144" s="2">
        <v>43002</v>
      </c>
      <c r="G144">
        <v>3</v>
      </c>
      <c r="H144" t="s">
        <v>19</v>
      </c>
      <c r="I144" t="s">
        <v>95</v>
      </c>
      <c r="J144">
        <f>IF(ISBLANK(G144),AVERAGE(Table15[Performance Rating]),G144)</f>
        <v>3</v>
      </c>
      <c r="K144" t="str">
        <f t="shared" si="4"/>
        <v>Alice Brown</v>
      </c>
      <c r="L144" t="str">
        <f>PROPER(Table15[[#This Row],[NAME2]])</f>
        <v>Alice Brown</v>
      </c>
    </row>
    <row r="145" spans="1:12" x14ac:dyDescent="0.25">
      <c r="A145" t="s">
        <v>270</v>
      </c>
      <c r="B145" t="s">
        <v>41</v>
      </c>
      <c r="C145" t="s">
        <v>26</v>
      </c>
      <c r="D145" t="s">
        <v>47</v>
      </c>
      <c r="E145">
        <v>91620</v>
      </c>
      <c r="F145" s="2">
        <v>43009</v>
      </c>
      <c r="I145" t="s">
        <v>271</v>
      </c>
      <c r="J145">
        <f>IF(ISBLANK(G145),AVERAGE(Table15[Performance Rating]),G145)</f>
        <v>2.8719999999999999</v>
      </c>
      <c r="K145" t="str">
        <f t="shared" si="4"/>
        <v>Chris Lee</v>
      </c>
      <c r="L145" t="str">
        <f>PROPER(Table15[[#This Row],[NAME2]])</f>
        <v>Chris Lee</v>
      </c>
    </row>
    <row r="146" spans="1:12" x14ac:dyDescent="0.25">
      <c r="A146" t="s">
        <v>272</v>
      </c>
      <c r="B146" t="s">
        <v>16</v>
      </c>
      <c r="E146">
        <v>94148</v>
      </c>
      <c r="F146" s="2">
        <v>43016</v>
      </c>
      <c r="G146">
        <v>2</v>
      </c>
      <c r="I146" t="s">
        <v>273</v>
      </c>
      <c r="J146">
        <f>IF(ISBLANK(G146),AVERAGE(Table15[Performance Rating]),G146)</f>
        <v>2</v>
      </c>
      <c r="K146" t="str">
        <f t="shared" si="4"/>
        <v>Eve Adams</v>
      </c>
      <c r="L146" t="str">
        <f>PROPER(Table15[[#This Row],[NAME2]])</f>
        <v>Eve Adams</v>
      </c>
    </row>
    <row r="147" spans="1:12" x14ac:dyDescent="0.25">
      <c r="A147" t="s">
        <v>274</v>
      </c>
      <c r="B147" t="s">
        <v>39</v>
      </c>
      <c r="C147" t="s">
        <v>26</v>
      </c>
      <c r="D147" t="s">
        <v>64</v>
      </c>
      <c r="E147">
        <v>35627</v>
      </c>
      <c r="F147" s="2">
        <v>43023</v>
      </c>
      <c r="G147">
        <v>5</v>
      </c>
      <c r="H147" t="s">
        <v>36</v>
      </c>
      <c r="I147" t="s">
        <v>258</v>
      </c>
      <c r="J147">
        <f>IF(ISBLANK(G147),AVERAGE(Table15[Performance Rating]),G147)</f>
        <v>5</v>
      </c>
      <c r="K147" t="str">
        <f t="shared" si="4"/>
        <v>Sam Wilson</v>
      </c>
      <c r="L147" t="str">
        <f>PROPER(Table15[[#This Row],[NAME2]])</f>
        <v>Sam Wilson</v>
      </c>
    </row>
    <row r="148" spans="1:12" x14ac:dyDescent="0.25">
      <c r="A148" t="s">
        <v>275</v>
      </c>
      <c r="B148" t="s">
        <v>25</v>
      </c>
      <c r="C148" t="s">
        <v>42</v>
      </c>
      <c r="D148" t="s">
        <v>27</v>
      </c>
      <c r="E148">
        <v>57141</v>
      </c>
      <c r="F148" s="2">
        <v>43030</v>
      </c>
      <c r="G148">
        <v>2</v>
      </c>
      <c r="I148" t="s">
        <v>264</v>
      </c>
      <c r="J148">
        <f>IF(ISBLANK(G148),AVERAGE(Table15[Performance Rating]),G148)</f>
        <v>2</v>
      </c>
      <c r="K148" t="str">
        <f t="shared" si="4"/>
        <v>John Doe</v>
      </c>
      <c r="L148" t="str">
        <f>PROPER(Table15[[#This Row],[NAME2]])</f>
        <v>John Doe</v>
      </c>
    </row>
    <row r="149" spans="1:12" x14ac:dyDescent="0.25">
      <c r="A149" t="s">
        <v>276</v>
      </c>
      <c r="B149" t="s">
        <v>54</v>
      </c>
      <c r="C149" t="s">
        <v>26</v>
      </c>
      <c r="D149" t="s">
        <v>64</v>
      </c>
      <c r="E149">
        <v>65270</v>
      </c>
      <c r="F149" s="2">
        <v>43037</v>
      </c>
      <c r="G149">
        <v>1</v>
      </c>
      <c r="I149" t="s">
        <v>277</v>
      </c>
      <c r="J149">
        <f>IF(ISBLANK(G149),AVERAGE(Table15[Performance Rating]),G149)</f>
        <v>1</v>
      </c>
      <c r="K149" t="str">
        <f t="shared" si="4"/>
        <v>Bob Johnson</v>
      </c>
      <c r="L149" t="str">
        <f>PROPER(Table15[[#This Row],[NAME2]])</f>
        <v>Bob Johnson</v>
      </c>
    </row>
    <row r="150" spans="1:12" x14ac:dyDescent="0.25">
      <c r="A150" t="s">
        <v>278</v>
      </c>
      <c r="B150" t="s">
        <v>54</v>
      </c>
      <c r="D150" t="s">
        <v>47</v>
      </c>
      <c r="E150">
        <v>67335</v>
      </c>
      <c r="F150" s="2">
        <v>43044</v>
      </c>
      <c r="G150">
        <v>1</v>
      </c>
      <c r="H150" t="s">
        <v>19</v>
      </c>
      <c r="I150" t="s">
        <v>144</v>
      </c>
      <c r="J150">
        <f>IF(ISBLANK(G150),AVERAGE(Table15[Performance Rating]),G150)</f>
        <v>1</v>
      </c>
      <c r="K150" t="str">
        <f t="shared" si="4"/>
        <v>Bob Johnson</v>
      </c>
      <c r="L150" t="str">
        <f>PROPER(Table15[[#This Row],[NAME2]])</f>
        <v>Bob Johnson</v>
      </c>
    </row>
    <row r="151" spans="1:12" x14ac:dyDescent="0.25">
      <c r="A151" t="s">
        <v>279</v>
      </c>
      <c r="B151" t="s">
        <v>39</v>
      </c>
      <c r="C151" t="s">
        <v>42</v>
      </c>
      <c r="D151" t="s">
        <v>35</v>
      </c>
      <c r="E151">
        <v>98475</v>
      </c>
      <c r="F151" s="2">
        <v>43051</v>
      </c>
      <c r="G151">
        <v>5</v>
      </c>
      <c r="H151" t="s">
        <v>19</v>
      </c>
      <c r="I151" t="s">
        <v>280</v>
      </c>
      <c r="J151">
        <f>IF(ISBLANK(G151),AVERAGE(Table15[Performance Rating]),G151)</f>
        <v>5</v>
      </c>
      <c r="K151" t="str">
        <f t="shared" si="4"/>
        <v>Sam Wilson</v>
      </c>
      <c r="L151" t="str">
        <f>PROPER(Table15[[#This Row],[NAME2]])</f>
        <v>Sam Wilson</v>
      </c>
    </row>
  </sheetData>
  <dataValidations count="2">
    <dataValidation type="list" allowBlank="1" showInputMessage="1" showErrorMessage="1" sqref="C1:C151" xr:uid="{64B81C28-A655-4B93-9353-DDD6DD540E54}">
      <formula1>$C:$C</formula1>
    </dataValidation>
    <dataValidation type="list" allowBlank="1" showInputMessage="1" showErrorMessage="1" sqref="B1:B151" xr:uid="{00475EB5-8DA2-420E-85DE-008E2FAFCBC6}">
      <formula1>$B$2:$B$151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A54E3-479A-452F-AAAF-8035DE32026E}">
  <dimension ref="E2:I14"/>
  <sheetViews>
    <sheetView workbookViewId="0">
      <selection activeCell="I4" sqref="I4"/>
    </sheetView>
  </sheetViews>
  <sheetFormatPr defaultRowHeight="15" x14ac:dyDescent="0.25"/>
  <cols>
    <col min="2" max="2" width="13.5703125" customWidth="1"/>
    <col min="3" max="3" width="13.140625" customWidth="1"/>
    <col min="7" max="7" width="13.140625" customWidth="1"/>
    <col min="8" max="8" width="10.5703125" customWidth="1"/>
    <col min="9" max="9" width="13.140625" customWidth="1"/>
  </cols>
  <sheetData>
    <row r="2" spans="5:9" ht="19.5" x14ac:dyDescent="0.3">
      <c r="E2" s="5" t="s">
        <v>290</v>
      </c>
    </row>
    <row r="4" spans="5:9" x14ac:dyDescent="0.25">
      <c r="G4" s="12" t="s">
        <v>289</v>
      </c>
      <c r="I4" s="13" t="s">
        <v>9</v>
      </c>
    </row>
    <row r="6" spans="5:9" x14ac:dyDescent="0.25">
      <c r="G6" s="12" t="s">
        <v>281</v>
      </c>
      <c r="I6" s="13" t="s">
        <v>16</v>
      </c>
    </row>
    <row r="8" spans="5:9" x14ac:dyDescent="0.25">
      <c r="G8" s="12" t="s">
        <v>282</v>
      </c>
      <c r="I8" s="13" t="s">
        <v>10</v>
      </c>
    </row>
    <row r="10" spans="5:9" x14ac:dyDescent="0.25">
      <c r="G10" s="12" t="s">
        <v>284</v>
      </c>
      <c r="I10" s="13" t="s">
        <v>18</v>
      </c>
    </row>
    <row r="12" spans="5:9" x14ac:dyDescent="0.25">
      <c r="G12" s="12" t="s">
        <v>285</v>
      </c>
      <c r="I12" s="13">
        <v>2</v>
      </c>
    </row>
    <row r="14" spans="5:9" x14ac:dyDescent="0.25">
      <c r="G14" s="12" t="s">
        <v>286</v>
      </c>
      <c r="I14" s="13" t="s">
        <v>28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8DE105EF-1903-407D-877E-DCA2F721AACB}">
          <x14:formula1>
            <xm:f>Sheet1!$B$2:$B$151</xm:f>
          </x14:formula1>
          <xm:sqref>I6:I7</xm:sqref>
        </x14:dataValidation>
        <x14:dataValidation type="list" allowBlank="1" showInputMessage="1" showErrorMessage="1" xr:uid="{EE88D93A-8FFF-4E6D-A75D-63D01D935CF1}">
          <x14:formula1>
            <xm:f>'Data(Dropdown)'!$A$2:$A$4</xm:f>
          </x14:formula1>
          <xm:sqref>I14</xm:sqref>
        </x14:dataValidation>
        <x14:dataValidation type="list" allowBlank="1" showInputMessage="1" showErrorMessage="1" xr:uid="{54B4C09B-F578-46C8-8732-F6A9E38572C4}">
          <x14:formula1>
            <xm:f>'Sheet1 (2)'!$A$2:$A$151</xm:f>
          </x14:formula1>
          <xm:sqref>I4</xm:sqref>
        </x14:dataValidation>
        <x14:dataValidation type="list" allowBlank="1" showInputMessage="1" showErrorMessage="1" xr:uid="{4E60A125-2384-4137-A201-A176D8E20B41}">
          <x14:formula1>
            <xm:f>'Data(Dropdown)'!$A$9:$A$13</xm:f>
          </x14:formula1>
          <xm:sqref>I12:I13</xm:sqref>
        </x14:dataValidation>
        <x14:dataValidation type="list" allowBlank="1" showInputMessage="1" showErrorMessage="1" xr:uid="{21897EBA-C26F-46C9-A133-AE240FF4D64B}">
          <x14:formula1>
            <xm:f>'Data(Dropdown)'!$C$2:$C$6</xm:f>
          </x14:formula1>
          <xm:sqref>I10:I11</xm:sqref>
        </x14:dataValidation>
        <x14:dataValidation type="list" allowBlank="1" showInputMessage="1" showErrorMessage="1" xr:uid="{AE485C06-032B-4D81-9EA5-EA398D5EE157}">
          <x14:formula1>
            <xm:f>'Data(Dropdown)'!$C$10:$C$14</xm:f>
          </x14:formula1>
          <xm:sqref>I8:I9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F278E-6936-4FFA-8175-328BE1BFB58C}">
  <dimension ref="A1:C14"/>
  <sheetViews>
    <sheetView workbookViewId="0">
      <selection activeCell="I11" sqref="I11"/>
    </sheetView>
  </sheetViews>
  <sheetFormatPr defaultRowHeight="15" x14ac:dyDescent="0.25"/>
  <sheetData>
    <row r="1" spans="1:3" x14ac:dyDescent="0.25">
      <c r="A1" t="s">
        <v>288</v>
      </c>
      <c r="C1" t="s">
        <v>284</v>
      </c>
    </row>
    <row r="2" spans="1:3" x14ac:dyDescent="0.25">
      <c r="A2" t="s">
        <v>28</v>
      </c>
      <c r="C2" t="s">
        <v>64</v>
      </c>
    </row>
    <row r="3" spans="1:3" x14ac:dyDescent="0.25">
      <c r="A3" t="s">
        <v>36</v>
      </c>
      <c r="C3" t="s">
        <v>18</v>
      </c>
    </row>
    <row r="4" spans="1:3" x14ac:dyDescent="0.25">
      <c r="A4" t="s">
        <v>287</v>
      </c>
      <c r="C4" t="s">
        <v>35</v>
      </c>
    </row>
    <row r="5" spans="1:3" x14ac:dyDescent="0.25">
      <c r="C5" t="s">
        <v>47</v>
      </c>
    </row>
    <row r="6" spans="1:3" x14ac:dyDescent="0.25">
      <c r="C6" t="s">
        <v>27</v>
      </c>
    </row>
    <row r="8" spans="1:3" x14ac:dyDescent="0.25">
      <c r="A8" t="s">
        <v>285</v>
      </c>
    </row>
    <row r="9" spans="1:3" x14ac:dyDescent="0.25">
      <c r="A9">
        <v>1</v>
      </c>
      <c r="C9" t="s">
        <v>282</v>
      </c>
    </row>
    <row r="10" spans="1:3" x14ac:dyDescent="0.25">
      <c r="A10">
        <v>2</v>
      </c>
      <c r="C10" t="s">
        <v>10</v>
      </c>
    </row>
    <row r="11" spans="1:3" x14ac:dyDescent="0.25">
      <c r="A11">
        <v>3</v>
      </c>
      <c r="C11" t="s">
        <v>34</v>
      </c>
    </row>
    <row r="12" spans="1:3" x14ac:dyDescent="0.25">
      <c r="A12">
        <v>4</v>
      </c>
      <c r="C12" t="s">
        <v>17</v>
      </c>
    </row>
    <row r="13" spans="1:3" x14ac:dyDescent="0.25">
      <c r="A13">
        <v>5</v>
      </c>
      <c r="C13" t="s">
        <v>26</v>
      </c>
    </row>
    <row r="14" spans="1:3" x14ac:dyDescent="0.25">
      <c r="C14" t="s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A375-6D00-4034-8018-B5C80FE00202}">
  <dimension ref="A1:I151"/>
  <sheetViews>
    <sheetView tabSelected="1" workbookViewId="0">
      <selection activeCell="F1" sqref="F1"/>
    </sheetView>
  </sheetViews>
  <sheetFormatPr defaultRowHeight="15" x14ac:dyDescent="0.25"/>
  <cols>
    <col min="1" max="1" width="16.7109375" bestFit="1" customWidth="1"/>
    <col min="2" max="2" width="13.7109375" customWidth="1"/>
    <col min="3" max="3" width="16.28515625" bestFit="1" customWidth="1"/>
    <col min="4" max="4" width="12.5703125" bestFit="1" customWidth="1"/>
    <col min="5" max="5" width="10.85546875" bestFit="1" customWidth="1"/>
    <col min="6" max="6" width="26.28515625" style="15" bestFit="1" customWidth="1"/>
    <col min="7" max="7" width="23.28515625" bestFit="1" customWidth="1"/>
    <col min="8" max="8" width="12.28515625" bestFit="1" customWidth="1"/>
    <col min="9" max="9" width="22.140625" bestFit="1" customWidth="1"/>
  </cols>
  <sheetData>
    <row r="1" spans="1:9" x14ac:dyDescent="0.25">
      <c r="A1" s="7" t="s">
        <v>0</v>
      </c>
      <c r="B1" s="7" t="s">
        <v>294</v>
      </c>
      <c r="C1" s="7" t="s">
        <v>2</v>
      </c>
      <c r="D1" s="7" t="s">
        <v>3</v>
      </c>
      <c r="E1" s="7" t="s">
        <v>4</v>
      </c>
      <c r="F1" s="14" t="s">
        <v>298</v>
      </c>
      <c r="G1" s="7" t="s">
        <v>6</v>
      </c>
      <c r="H1" s="7" t="s">
        <v>7</v>
      </c>
      <c r="I1" s="7" t="s">
        <v>8</v>
      </c>
    </row>
    <row r="2" spans="1:9" x14ac:dyDescent="0.25">
      <c r="A2" t="s">
        <v>9</v>
      </c>
      <c r="B2" t="str">
        <f>PROPER(Table15[[#This Row],[NAME2]])</f>
        <v>Unknown</v>
      </c>
      <c r="C2" t="s">
        <v>10</v>
      </c>
      <c r="D2" t="s">
        <v>35</v>
      </c>
      <c r="E2">
        <v>66280</v>
      </c>
      <c r="F2" s="15" t="s">
        <v>13</v>
      </c>
      <c r="G2">
        <v>2</v>
      </c>
      <c r="H2" t="s">
        <v>13</v>
      </c>
      <c r="I2" t="s">
        <v>14</v>
      </c>
    </row>
    <row r="3" spans="1:9" x14ac:dyDescent="0.25">
      <c r="A3" t="s">
        <v>15</v>
      </c>
      <c r="B3" t="str">
        <f>PROPER(Table15[[#This Row],[NAME2]])</f>
        <v>Eve Adams</v>
      </c>
      <c r="C3" t="s">
        <v>17</v>
      </c>
      <c r="D3" t="s">
        <v>18</v>
      </c>
      <c r="E3">
        <v>54255</v>
      </c>
      <c r="F3" s="15">
        <v>42015</v>
      </c>
      <c r="G3">
        <v>1</v>
      </c>
      <c r="H3" t="s">
        <v>19</v>
      </c>
      <c r="I3" t="s">
        <v>20</v>
      </c>
    </row>
    <row r="4" spans="1:9" x14ac:dyDescent="0.25">
      <c r="A4" t="s">
        <v>21</v>
      </c>
      <c r="B4" t="str">
        <f>PROPER(Table15[[#This Row],[NAME2]])</f>
        <v>Alice Brown</v>
      </c>
      <c r="C4" t="s">
        <v>10</v>
      </c>
      <c r="D4" t="s">
        <v>18</v>
      </c>
      <c r="E4">
        <v>63184</v>
      </c>
      <c r="F4" s="15">
        <v>42022</v>
      </c>
      <c r="G4">
        <v>2</v>
      </c>
      <c r="H4" t="s">
        <v>19</v>
      </c>
      <c r="I4" t="s">
        <v>23</v>
      </c>
    </row>
    <row r="5" spans="1:9" x14ac:dyDescent="0.25">
      <c r="A5" t="s">
        <v>24</v>
      </c>
      <c r="B5" t="str">
        <f>PROPER(Table15[[#This Row],[NAME2]])</f>
        <v>John Doe</v>
      </c>
      <c r="C5" t="s">
        <v>26</v>
      </c>
      <c r="D5" t="s">
        <v>27</v>
      </c>
      <c r="E5">
        <v>94406</v>
      </c>
      <c r="F5" s="15">
        <v>42029</v>
      </c>
      <c r="G5">
        <v>1</v>
      </c>
      <c r="H5" t="s">
        <v>28</v>
      </c>
      <c r="I5" t="s">
        <v>29</v>
      </c>
    </row>
    <row r="6" spans="1:9" x14ac:dyDescent="0.25">
      <c r="A6" t="s">
        <v>30</v>
      </c>
      <c r="B6" t="str">
        <f>PROPER(Table15[[#This Row],[NAME2]])</f>
        <v>Jane Smith</v>
      </c>
      <c r="C6" t="s">
        <v>26</v>
      </c>
      <c r="D6" t="s">
        <v>18</v>
      </c>
      <c r="E6">
        <v>64120</v>
      </c>
      <c r="F6" s="15">
        <v>42036</v>
      </c>
      <c r="G6">
        <v>1</v>
      </c>
      <c r="H6" t="s">
        <v>28</v>
      </c>
      <c r="I6" t="s">
        <v>32</v>
      </c>
    </row>
    <row r="7" spans="1:9" x14ac:dyDescent="0.25">
      <c r="A7" t="s">
        <v>33</v>
      </c>
      <c r="B7" t="str">
        <f>PROPER(Table15[[#This Row],[NAME2]])</f>
        <v>Alice Brown</v>
      </c>
      <c r="C7" t="s">
        <v>34</v>
      </c>
      <c r="D7" t="s">
        <v>35</v>
      </c>
      <c r="E7">
        <v>78421</v>
      </c>
      <c r="F7" s="15">
        <v>42043</v>
      </c>
      <c r="G7">
        <v>2</v>
      </c>
      <c r="H7" t="s">
        <v>36</v>
      </c>
      <c r="I7" t="s">
        <v>37</v>
      </c>
    </row>
    <row r="8" spans="1:9" x14ac:dyDescent="0.25">
      <c r="A8" t="s">
        <v>38</v>
      </c>
      <c r="B8" t="str">
        <f>PROPER(Table15[[#This Row],[NAME2]])</f>
        <v>Sam Wilson</v>
      </c>
      <c r="C8" t="s">
        <v>26</v>
      </c>
      <c r="D8" t="s">
        <v>35</v>
      </c>
      <c r="E8">
        <v>67721</v>
      </c>
      <c r="F8" s="15">
        <v>42050</v>
      </c>
      <c r="G8">
        <v>3</v>
      </c>
      <c r="H8" t="s">
        <v>28</v>
      </c>
      <c r="I8" t="s">
        <v>29</v>
      </c>
    </row>
    <row r="9" spans="1:9" x14ac:dyDescent="0.25">
      <c r="A9" t="s">
        <v>40</v>
      </c>
      <c r="B9" t="str">
        <f>PROPER(Table15[[#This Row],[NAME2]])</f>
        <v>Chris Lee</v>
      </c>
      <c r="C9" t="s">
        <v>42</v>
      </c>
      <c r="D9" t="s">
        <v>35</v>
      </c>
      <c r="E9">
        <v>35364</v>
      </c>
      <c r="F9" s="15">
        <v>42057</v>
      </c>
      <c r="G9">
        <v>2</v>
      </c>
      <c r="H9" t="s">
        <v>19</v>
      </c>
      <c r="I9" t="s">
        <v>43</v>
      </c>
    </row>
    <row r="10" spans="1:9" x14ac:dyDescent="0.25">
      <c r="A10" t="s">
        <v>44</v>
      </c>
      <c r="B10" t="str">
        <f>PROPER(Table15[[#This Row],[NAME2]])</f>
        <v>Alice Brown</v>
      </c>
      <c r="C10" t="s">
        <v>34</v>
      </c>
      <c r="D10" t="s">
        <v>18</v>
      </c>
      <c r="E10">
        <v>97881</v>
      </c>
      <c r="F10" s="15">
        <v>42064</v>
      </c>
      <c r="G10">
        <v>3</v>
      </c>
      <c r="H10" t="s">
        <v>36</v>
      </c>
      <c r="I10" t="s">
        <v>45</v>
      </c>
    </row>
    <row r="11" spans="1:9" x14ac:dyDescent="0.25">
      <c r="A11" t="s">
        <v>46</v>
      </c>
      <c r="B11" t="str">
        <f>PROPER(Table15[[#This Row],[NAME2]])</f>
        <v>Chris Lee</v>
      </c>
      <c r="C11" t="s">
        <v>17</v>
      </c>
      <c r="D11" t="s">
        <v>47</v>
      </c>
      <c r="E11">
        <v>91846</v>
      </c>
      <c r="F11" s="15">
        <v>42071</v>
      </c>
      <c r="G11">
        <v>3</v>
      </c>
      <c r="H11" t="s">
        <v>28</v>
      </c>
      <c r="I11" t="s">
        <v>48</v>
      </c>
    </row>
    <row r="12" spans="1:9" x14ac:dyDescent="0.25">
      <c r="A12" t="s">
        <v>49</v>
      </c>
      <c r="B12" t="str">
        <f>PROPER(Table15[[#This Row],[NAME2]])</f>
        <v>Sam Wilson</v>
      </c>
      <c r="C12" t="s">
        <v>10</v>
      </c>
      <c r="D12" t="s">
        <v>47</v>
      </c>
      <c r="E12">
        <v>64247</v>
      </c>
      <c r="F12" s="15">
        <v>42078</v>
      </c>
      <c r="G12">
        <v>1</v>
      </c>
      <c r="H12" t="s">
        <v>19</v>
      </c>
      <c r="I12" t="s">
        <v>50</v>
      </c>
    </row>
    <row r="13" spans="1:9" x14ac:dyDescent="0.25">
      <c r="A13" t="s">
        <v>51</v>
      </c>
      <c r="B13" t="str">
        <f>PROPER(Table15[[#This Row],[NAME2]])</f>
        <v>Sam Wilson</v>
      </c>
      <c r="C13" t="s">
        <v>34</v>
      </c>
      <c r="D13" t="s">
        <v>27</v>
      </c>
      <c r="E13">
        <v>91180</v>
      </c>
      <c r="F13" s="15">
        <v>42085</v>
      </c>
      <c r="G13">
        <v>5</v>
      </c>
      <c r="H13" t="s">
        <v>28</v>
      </c>
      <c r="I13" t="s">
        <v>52</v>
      </c>
    </row>
    <row r="14" spans="1:9" x14ac:dyDescent="0.25">
      <c r="A14" t="s">
        <v>53</v>
      </c>
      <c r="B14" t="str">
        <f>PROPER(Table15[[#This Row],[NAME2]])</f>
        <v>Bob Johnson</v>
      </c>
      <c r="C14" t="s">
        <v>26</v>
      </c>
      <c r="D14" t="s">
        <v>35</v>
      </c>
      <c r="E14">
        <v>96418</v>
      </c>
      <c r="F14" s="15">
        <v>42092</v>
      </c>
      <c r="G14">
        <v>5</v>
      </c>
      <c r="H14" t="s">
        <v>28</v>
      </c>
      <c r="I14" t="s">
        <v>20</v>
      </c>
    </row>
    <row r="15" spans="1:9" x14ac:dyDescent="0.25">
      <c r="A15" t="s">
        <v>55</v>
      </c>
      <c r="B15" t="str">
        <f>PROPER(Table15[[#This Row],[NAME2]])</f>
        <v>Sam Wilson</v>
      </c>
      <c r="C15" t="s">
        <v>42</v>
      </c>
      <c r="D15" t="s">
        <v>35</v>
      </c>
      <c r="E15">
        <v>62158</v>
      </c>
      <c r="F15" s="15">
        <v>42099</v>
      </c>
      <c r="G15">
        <v>4</v>
      </c>
      <c r="H15" t="s">
        <v>19</v>
      </c>
      <c r="I15" t="s">
        <v>56</v>
      </c>
    </row>
    <row r="16" spans="1:9" x14ac:dyDescent="0.25">
      <c r="A16" t="s">
        <v>57</v>
      </c>
      <c r="B16" t="str">
        <f>PROPER(Table15[[#This Row],[NAME2]])</f>
        <v>Jane Smith</v>
      </c>
      <c r="C16" t="s">
        <v>17</v>
      </c>
      <c r="D16" t="s">
        <v>35</v>
      </c>
      <c r="E16">
        <v>59894</v>
      </c>
      <c r="F16" s="15">
        <v>42106</v>
      </c>
      <c r="G16">
        <v>2</v>
      </c>
      <c r="H16" t="s">
        <v>28</v>
      </c>
      <c r="I16" t="s">
        <v>58</v>
      </c>
    </row>
    <row r="17" spans="1:9" x14ac:dyDescent="0.25">
      <c r="A17" t="s">
        <v>59</v>
      </c>
      <c r="B17" t="str">
        <f>PROPER(Table15[[#This Row],[NAME2]])</f>
        <v>Unknown</v>
      </c>
      <c r="C17" t="s">
        <v>34</v>
      </c>
      <c r="D17" t="s">
        <v>35</v>
      </c>
      <c r="E17">
        <v>92443</v>
      </c>
      <c r="F17" s="15">
        <v>42113</v>
      </c>
      <c r="G17">
        <v>3</v>
      </c>
      <c r="H17" t="s">
        <v>19</v>
      </c>
      <c r="I17" t="s">
        <v>60</v>
      </c>
    </row>
    <row r="18" spans="1:9" x14ac:dyDescent="0.25">
      <c r="A18" t="s">
        <v>61</v>
      </c>
      <c r="B18" t="str">
        <f>PROPER(Table15[[#This Row],[NAME2]])</f>
        <v>Bob Johnson</v>
      </c>
      <c r="C18" t="s">
        <v>42</v>
      </c>
      <c r="D18" t="s">
        <v>18</v>
      </c>
      <c r="E18">
        <v>90271</v>
      </c>
      <c r="F18" s="15">
        <v>42120</v>
      </c>
      <c r="G18">
        <v>3</v>
      </c>
      <c r="H18" t="s">
        <v>19</v>
      </c>
      <c r="I18" t="s">
        <v>62</v>
      </c>
    </row>
    <row r="19" spans="1:9" x14ac:dyDescent="0.25">
      <c r="A19" t="s">
        <v>63</v>
      </c>
      <c r="B19" t="str">
        <f>PROPER(Table15[[#This Row],[NAME2]])</f>
        <v>Jane Smith</v>
      </c>
      <c r="C19" t="s">
        <v>10</v>
      </c>
      <c r="D19" t="s">
        <v>64</v>
      </c>
      <c r="E19">
        <v>41341</v>
      </c>
      <c r="F19" s="15">
        <v>42127</v>
      </c>
      <c r="G19">
        <v>1</v>
      </c>
      <c r="H19" t="s">
        <v>19</v>
      </c>
      <c r="I19" t="s">
        <v>65</v>
      </c>
    </row>
    <row r="20" spans="1:9" x14ac:dyDescent="0.25">
      <c r="A20" t="s">
        <v>66</v>
      </c>
      <c r="B20" t="str">
        <f>PROPER(Table15[[#This Row],[NAME2]])</f>
        <v>Alice Brown</v>
      </c>
      <c r="C20" t="s">
        <v>10</v>
      </c>
      <c r="D20" t="s">
        <v>47</v>
      </c>
      <c r="E20">
        <v>73602</v>
      </c>
      <c r="F20" s="15">
        <v>42134</v>
      </c>
      <c r="G20">
        <v>3</v>
      </c>
      <c r="H20" t="s">
        <v>19</v>
      </c>
      <c r="I20" t="s">
        <v>67</v>
      </c>
    </row>
    <row r="21" spans="1:9" x14ac:dyDescent="0.25">
      <c r="A21" t="s">
        <v>68</v>
      </c>
      <c r="B21" t="str">
        <f>PROPER(Table15[[#This Row],[NAME2]])</f>
        <v>Eve Adams</v>
      </c>
      <c r="C21" t="s">
        <v>42</v>
      </c>
      <c r="D21" t="s">
        <v>35</v>
      </c>
      <c r="E21">
        <v>67531</v>
      </c>
      <c r="F21" s="15">
        <v>42141</v>
      </c>
      <c r="G21">
        <v>5</v>
      </c>
      <c r="H21" t="s">
        <v>36</v>
      </c>
      <c r="I21" t="s">
        <v>69</v>
      </c>
    </row>
    <row r="22" spans="1:9" x14ac:dyDescent="0.25">
      <c r="A22" t="s">
        <v>70</v>
      </c>
      <c r="B22" t="str">
        <f>PROPER(Table15[[#This Row],[NAME2]])</f>
        <v>Jane Smith</v>
      </c>
      <c r="C22" t="s">
        <v>17</v>
      </c>
      <c r="D22" t="s">
        <v>27</v>
      </c>
      <c r="E22">
        <v>66280</v>
      </c>
      <c r="F22" s="15">
        <v>42148</v>
      </c>
      <c r="G22">
        <v>2</v>
      </c>
      <c r="H22" t="s">
        <v>19</v>
      </c>
      <c r="I22" t="s">
        <v>71</v>
      </c>
    </row>
    <row r="23" spans="1:9" x14ac:dyDescent="0.25">
      <c r="A23" t="s">
        <v>72</v>
      </c>
      <c r="B23" t="str">
        <f>PROPER(Table15[[#This Row],[NAME2]])</f>
        <v>Jane Smith</v>
      </c>
      <c r="C23" t="s">
        <v>17</v>
      </c>
      <c r="D23" t="s">
        <v>35</v>
      </c>
      <c r="E23">
        <v>98922</v>
      </c>
      <c r="F23" s="15">
        <v>42155</v>
      </c>
      <c r="G23">
        <v>4</v>
      </c>
      <c r="H23" t="s">
        <v>19</v>
      </c>
      <c r="I23" t="s">
        <v>73</v>
      </c>
    </row>
    <row r="24" spans="1:9" x14ac:dyDescent="0.25">
      <c r="A24" t="s">
        <v>74</v>
      </c>
      <c r="B24" t="str">
        <f>PROPER(Table15[[#This Row],[NAME2]])</f>
        <v>Eve Adams</v>
      </c>
      <c r="C24" t="s">
        <v>10</v>
      </c>
      <c r="D24" t="s">
        <v>35</v>
      </c>
      <c r="E24">
        <v>38333</v>
      </c>
      <c r="F24" s="15">
        <v>42162</v>
      </c>
      <c r="G24">
        <v>5</v>
      </c>
      <c r="H24" t="s">
        <v>19</v>
      </c>
      <c r="I24" t="s">
        <v>75</v>
      </c>
    </row>
    <row r="25" spans="1:9" x14ac:dyDescent="0.25">
      <c r="A25" t="s">
        <v>76</v>
      </c>
      <c r="B25" t="str">
        <f>PROPER(Table15[[#This Row],[NAME2]])</f>
        <v>Alice Brown</v>
      </c>
      <c r="C25" t="s">
        <v>42</v>
      </c>
      <c r="D25" t="s">
        <v>47</v>
      </c>
      <c r="E25">
        <v>36515</v>
      </c>
      <c r="F25" s="15">
        <v>42169</v>
      </c>
      <c r="G25">
        <v>3</v>
      </c>
      <c r="H25" t="s">
        <v>28</v>
      </c>
      <c r="I25" t="s">
        <v>77</v>
      </c>
    </row>
    <row r="26" spans="1:9" x14ac:dyDescent="0.25">
      <c r="A26" t="s">
        <v>78</v>
      </c>
      <c r="B26" t="str">
        <f>PROPER(Table15[[#This Row],[NAME2]])</f>
        <v>Sam Wilson</v>
      </c>
      <c r="C26" t="s">
        <v>10</v>
      </c>
      <c r="D26" t="s">
        <v>35</v>
      </c>
      <c r="E26">
        <v>91005</v>
      </c>
      <c r="F26" s="15">
        <v>42176</v>
      </c>
      <c r="G26">
        <v>1</v>
      </c>
      <c r="H26" t="s">
        <v>19</v>
      </c>
      <c r="I26" t="s">
        <v>79</v>
      </c>
    </row>
    <row r="27" spans="1:9" x14ac:dyDescent="0.25">
      <c r="A27" t="s">
        <v>80</v>
      </c>
      <c r="B27" t="str">
        <f>PROPER(Table15[[#This Row],[NAME2]])</f>
        <v>Chris Lee</v>
      </c>
      <c r="C27" t="s">
        <v>42</v>
      </c>
      <c r="D27" t="s">
        <v>295</v>
      </c>
      <c r="E27">
        <v>52272</v>
      </c>
      <c r="F27" s="15">
        <v>42183</v>
      </c>
      <c r="G27">
        <v>3</v>
      </c>
      <c r="H27" t="s">
        <v>19</v>
      </c>
      <c r="I27" t="s">
        <v>81</v>
      </c>
    </row>
    <row r="28" spans="1:9" x14ac:dyDescent="0.25">
      <c r="A28" t="s">
        <v>82</v>
      </c>
      <c r="B28" t="str">
        <f>PROPER(Table15[[#This Row],[NAME2]])</f>
        <v>Eve Adams</v>
      </c>
      <c r="C28" t="s">
        <v>26</v>
      </c>
      <c r="D28" t="s">
        <v>18</v>
      </c>
      <c r="E28">
        <v>76518</v>
      </c>
      <c r="F28" s="15">
        <v>42190</v>
      </c>
      <c r="G28">
        <v>2</v>
      </c>
      <c r="H28" t="s">
        <v>36</v>
      </c>
      <c r="I28" t="s">
        <v>83</v>
      </c>
    </row>
    <row r="29" spans="1:9" x14ac:dyDescent="0.25">
      <c r="A29" t="s">
        <v>84</v>
      </c>
      <c r="B29" t="str">
        <f>PROPER(Table15[[#This Row],[NAME2]])</f>
        <v>Alice Brown</v>
      </c>
      <c r="C29" t="s">
        <v>34</v>
      </c>
      <c r="D29" t="s">
        <v>47</v>
      </c>
      <c r="E29">
        <v>41448</v>
      </c>
      <c r="F29" s="15">
        <v>42197</v>
      </c>
      <c r="G29">
        <v>3</v>
      </c>
      <c r="H29" t="s">
        <v>19</v>
      </c>
      <c r="I29" t="s">
        <v>85</v>
      </c>
    </row>
    <row r="30" spans="1:9" x14ac:dyDescent="0.25">
      <c r="A30" t="s">
        <v>86</v>
      </c>
      <c r="B30" t="str">
        <f>PROPER(Table15[[#This Row],[NAME2]])</f>
        <v>John Doe</v>
      </c>
      <c r="C30" t="s">
        <v>17</v>
      </c>
      <c r="D30" t="s">
        <v>47</v>
      </c>
      <c r="E30">
        <v>49282</v>
      </c>
      <c r="F30" s="15">
        <v>42204</v>
      </c>
      <c r="G30">
        <v>2</v>
      </c>
      <c r="H30" t="s">
        <v>36</v>
      </c>
      <c r="I30" t="s">
        <v>87</v>
      </c>
    </row>
    <row r="31" spans="1:9" x14ac:dyDescent="0.25">
      <c r="A31" t="s">
        <v>88</v>
      </c>
      <c r="B31" t="str">
        <f>PROPER(Table15[[#This Row],[NAME2]])</f>
        <v>Bob Johnson</v>
      </c>
      <c r="C31" t="s">
        <v>42</v>
      </c>
      <c r="D31" t="s">
        <v>47</v>
      </c>
      <c r="E31">
        <v>92959</v>
      </c>
      <c r="F31" s="15">
        <v>42211</v>
      </c>
      <c r="G31">
        <v>5</v>
      </c>
      <c r="H31" t="s">
        <v>19</v>
      </c>
      <c r="I31" t="s">
        <v>89</v>
      </c>
    </row>
    <row r="32" spans="1:9" x14ac:dyDescent="0.25">
      <c r="A32" t="s">
        <v>90</v>
      </c>
      <c r="B32" t="str">
        <f>PROPER(Table15[[#This Row],[NAME2]])</f>
        <v>Unknown</v>
      </c>
      <c r="C32" t="s">
        <v>42</v>
      </c>
      <c r="D32" t="s">
        <v>35</v>
      </c>
      <c r="E32">
        <v>92259</v>
      </c>
      <c r="F32" s="15" t="s">
        <v>13</v>
      </c>
      <c r="G32">
        <v>1</v>
      </c>
      <c r="H32" t="s">
        <v>13</v>
      </c>
      <c r="I32" t="s">
        <v>91</v>
      </c>
    </row>
    <row r="33" spans="1:9" x14ac:dyDescent="0.25">
      <c r="A33" t="s">
        <v>92</v>
      </c>
      <c r="B33" t="str">
        <f>PROPER(Table15[[#This Row],[NAME2]])</f>
        <v>Eve Adams</v>
      </c>
      <c r="C33" t="s">
        <v>17</v>
      </c>
      <c r="D33" t="s">
        <v>18</v>
      </c>
      <c r="E33">
        <v>92299</v>
      </c>
      <c r="F33" s="15">
        <v>42225</v>
      </c>
      <c r="G33">
        <v>3</v>
      </c>
      <c r="H33" t="s">
        <v>28</v>
      </c>
      <c r="I33" t="s">
        <v>93</v>
      </c>
    </row>
    <row r="34" spans="1:9" x14ac:dyDescent="0.25">
      <c r="A34" t="s">
        <v>94</v>
      </c>
      <c r="B34" t="str">
        <f>PROPER(Table15[[#This Row],[NAME2]])</f>
        <v>Sam Wilson</v>
      </c>
      <c r="C34" t="s">
        <v>17</v>
      </c>
      <c r="D34" t="s">
        <v>35</v>
      </c>
      <c r="E34">
        <v>95586</v>
      </c>
      <c r="F34" s="15">
        <v>42232</v>
      </c>
      <c r="G34">
        <v>3</v>
      </c>
      <c r="H34" t="s">
        <v>19</v>
      </c>
      <c r="I34" t="s">
        <v>95</v>
      </c>
    </row>
    <row r="35" spans="1:9" x14ac:dyDescent="0.25">
      <c r="A35" t="s">
        <v>96</v>
      </c>
      <c r="B35" t="str">
        <f>PROPER(Table15[[#This Row],[NAME2]])</f>
        <v>Chris Lee</v>
      </c>
      <c r="C35" t="s">
        <v>42</v>
      </c>
      <c r="D35" t="s">
        <v>27</v>
      </c>
      <c r="E35">
        <v>95367</v>
      </c>
      <c r="F35" s="15">
        <v>42239</v>
      </c>
      <c r="G35">
        <v>3</v>
      </c>
      <c r="H35" t="s">
        <v>28</v>
      </c>
      <c r="I35" t="s">
        <v>97</v>
      </c>
    </row>
    <row r="36" spans="1:9" x14ac:dyDescent="0.25">
      <c r="A36" t="s">
        <v>98</v>
      </c>
      <c r="B36" t="str">
        <f>PROPER(Table15[[#This Row],[NAME2]])</f>
        <v>John Doe</v>
      </c>
      <c r="C36" t="s">
        <v>26</v>
      </c>
      <c r="D36" t="s">
        <v>64</v>
      </c>
      <c r="E36">
        <v>79549</v>
      </c>
      <c r="F36" s="15">
        <v>42246</v>
      </c>
      <c r="G36">
        <v>3</v>
      </c>
      <c r="H36" t="s">
        <v>19</v>
      </c>
      <c r="I36" t="s">
        <v>99</v>
      </c>
    </row>
    <row r="37" spans="1:9" x14ac:dyDescent="0.25">
      <c r="A37" t="s">
        <v>100</v>
      </c>
      <c r="B37" t="str">
        <f>PROPER(Table15[[#This Row],[NAME2]])</f>
        <v>Alice Brown</v>
      </c>
      <c r="C37" t="s">
        <v>42</v>
      </c>
      <c r="D37" t="s">
        <v>47</v>
      </c>
      <c r="E37">
        <v>54463</v>
      </c>
      <c r="F37" s="15">
        <v>42253</v>
      </c>
      <c r="G37">
        <v>4</v>
      </c>
      <c r="H37" t="s">
        <v>28</v>
      </c>
      <c r="I37" t="s">
        <v>14</v>
      </c>
    </row>
    <row r="38" spans="1:9" x14ac:dyDescent="0.25">
      <c r="A38" t="s">
        <v>101</v>
      </c>
      <c r="B38" t="str">
        <f>PROPER(Table15[[#This Row],[NAME2]])</f>
        <v>Alice Brown</v>
      </c>
      <c r="C38" t="s">
        <v>34</v>
      </c>
      <c r="D38" t="s">
        <v>27</v>
      </c>
      <c r="E38">
        <v>89781</v>
      </c>
      <c r="F38" s="15">
        <v>42260</v>
      </c>
      <c r="G38">
        <v>3</v>
      </c>
      <c r="H38" t="s">
        <v>36</v>
      </c>
      <c r="I38" t="s">
        <v>102</v>
      </c>
    </row>
    <row r="39" spans="1:9" x14ac:dyDescent="0.25">
      <c r="A39" t="s">
        <v>103</v>
      </c>
      <c r="B39" t="str">
        <f>PROPER(Table15[[#This Row],[NAME2]])</f>
        <v>Alice Brown</v>
      </c>
      <c r="C39" t="s">
        <v>17</v>
      </c>
      <c r="D39" t="s">
        <v>35</v>
      </c>
      <c r="E39">
        <v>64796</v>
      </c>
      <c r="F39" s="15">
        <v>42267</v>
      </c>
      <c r="G39">
        <v>3</v>
      </c>
      <c r="H39" t="s">
        <v>19</v>
      </c>
      <c r="I39" t="s">
        <v>104</v>
      </c>
    </row>
    <row r="40" spans="1:9" x14ac:dyDescent="0.25">
      <c r="A40" t="s">
        <v>105</v>
      </c>
      <c r="B40" t="str">
        <f>PROPER(Table15[[#This Row],[NAME2]])</f>
        <v>John Doe</v>
      </c>
      <c r="C40" t="s">
        <v>42</v>
      </c>
      <c r="D40" t="s">
        <v>47</v>
      </c>
      <c r="E40">
        <v>52093</v>
      </c>
      <c r="F40" s="15">
        <v>42274</v>
      </c>
      <c r="G40">
        <v>5</v>
      </c>
      <c r="H40" t="s">
        <v>19</v>
      </c>
      <c r="I40" t="s">
        <v>106</v>
      </c>
    </row>
    <row r="41" spans="1:9" x14ac:dyDescent="0.25">
      <c r="A41" t="s">
        <v>107</v>
      </c>
      <c r="B41" t="str">
        <f>PROPER(Table15[[#This Row],[NAME2]])</f>
        <v>Chris Lee</v>
      </c>
      <c r="C41" t="s">
        <v>17</v>
      </c>
      <c r="D41" t="s">
        <v>47</v>
      </c>
      <c r="E41">
        <v>48224</v>
      </c>
      <c r="F41" s="15">
        <v>42281</v>
      </c>
      <c r="G41">
        <v>3</v>
      </c>
      <c r="H41" t="s">
        <v>19</v>
      </c>
      <c r="I41" t="s">
        <v>108</v>
      </c>
    </row>
    <row r="42" spans="1:9" x14ac:dyDescent="0.25">
      <c r="A42" t="s">
        <v>109</v>
      </c>
      <c r="B42" t="str">
        <f>PROPER(Table15[[#This Row],[NAME2]])</f>
        <v>Bob Johnson</v>
      </c>
      <c r="C42" t="s">
        <v>10</v>
      </c>
      <c r="D42" t="s">
        <v>47</v>
      </c>
      <c r="E42">
        <v>66280</v>
      </c>
      <c r="F42" s="15" t="s">
        <v>13</v>
      </c>
      <c r="G42">
        <v>4</v>
      </c>
      <c r="H42" t="s">
        <v>36</v>
      </c>
      <c r="I42" t="s">
        <v>110</v>
      </c>
    </row>
    <row r="43" spans="1:9" x14ac:dyDescent="0.25">
      <c r="A43" t="s">
        <v>111</v>
      </c>
      <c r="B43" t="str">
        <f>PROPER(Table15[[#This Row],[NAME2]])</f>
        <v>Alice Brown</v>
      </c>
      <c r="C43" t="s">
        <v>34</v>
      </c>
      <c r="D43" t="s">
        <v>18</v>
      </c>
      <c r="E43">
        <v>33956</v>
      </c>
      <c r="F43" s="15">
        <v>42295</v>
      </c>
      <c r="G43">
        <v>3</v>
      </c>
      <c r="H43" t="s">
        <v>19</v>
      </c>
      <c r="I43" t="s">
        <v>112</v>
      </c>
    </row>
    <row r="44" spans="1:9" x14ac:dyDescent="0.25">
      <c r="A44" t="s">
        <v>113</v>
      </c>
      <c r="B44" t="str">
        <f>PROPER(Table15[[#This Row],[NAME2]])</f>
        <v>Bob Johnson</v>
      </c>
      <c r="C44" t="s">
        <v>42</v>
      </c>
      <c r="D44" t="s">
        <v>64</v>
      </c>
      <c r="E44">
        <v>64913</v>
      </c>
      <c r="F44" s="15">
        <v>42302</v>
      </c>
      <c r="G44">
        <v>1</v>
      </c>
      <c r="H44" t="s">
        <v>36</v>
      </c>
      <c r="I44" t="s">
        <v>114</v>
      </c>
    </row>
    <row r="45" spans="1:9" x14ac:dyDescent="0.25">
      <c r="A45" t="s">
        <v>115</v>
      </c>
      <c r="B45" t="str">
        <f>PROPER(Table15[[#This Row],[NAME2]])</f>
        <v>Alice Brown</v>
      </c>
      <c r="C45" t="s">
        <v>42</v>
      </c>
      <c r="D45" t="s">
        <v>64</v>
      </c>
      <c r="E45">
        <v>35326</v>
      </c>
      <c r="F45" s="15">
        <v>42309</v>
      </c>
      <c r="G45">
        <v>3</v>
      </c>
      <c r="H45" t="s">
        <v>36</v>
      </c>
      <c r="I45" t="s">
        <v>116</v>
      </c>
    </row>
    <row r="46" spans="1:9" x14ac:dyDescent="0.25">
      <c r="A46" t="s">
        <v>117</v>
      </c>
      <c r="B46" t="str">
        <f>PROPER(Table15[[#This Row],[NAME2]])</f>
        <v>Chris Lee</v>
      </c>
      <c r="C46" t="s">
        <v>10</v>
      </c>
      <c r="D46" t="s">
        <v>35</v>
      </c>
      <c r="E46">
        <v>81610</v>
      </c>
      <c r="F46" s="15">
        <v>42316</v>
      </c>
      <c r="G46">
        <v>1</v>
      </c>
      <c r="H46" t="s">
        <v>19</v>
      </c>
      <c r="I46" t="s">
        <v>118</v>
      </c>
    </row>
    <row r="47" spans="1:9" x14ac:dyDescent="0.25">
      <c r="A47" t="s">
        <v>119</v>
      </c>
      <c r="B47" t="str">
        <f>PROPER(Table15[[#This Row],[NAME2]])</f>
        <v>Unknown</v>
      </c>
      <c r="C47" t="s">
        <v>17</v>
      </c>
      <c r="D47" t="s">
        <v>35</v>
      </c>
      <c r="E47">
        <v>58962</v>
      </c>
      <c r="F47" s="15">
        <v>42323</v>
      </c>
      <c r="G47">
        <v>3</v>
      </c>
      <c r="H47" t="s">
        <v>19</v>
      </c>
      <c r="I47" t="s">
        <v>20</v>
      </c>
    </row>
    <row r="48" spans="1:9" x14ac:dyDescent="0.25">
      <c r="A48" t="s">
        <v>120</v>
      </c>
      <c r="B48" t="str">
        <f>PROPER(Table15[[#This Row],[NAME2]])</f>
        <v>Chris Lee</v>
      </c>
      <c r="C48" t="s">
        <v>34</v>
      </c>
      <c r="D48" t="s">
        <v>18</v>
      </c>
      <c r="E48">
        <v>92701</v>
      </c>
      <c r="F48" s="15">
        <v>42330</v>
      </c>
      <c r="G48">
        <v>3</v>
      </c>
      <c r="H48" t="s">
        <v>19</v>
      </c>
      <c r="I48" t="s">
        <v>121</v>
      </c>
    </row>
    <row r="49" spans="1:9" x14ac:dyDescent="0.25">
      <c r="A49" t="s">
        <v>122</v>
      </c>
      <c r="B49" t="str">
        <f>PROPER(Table15[[#This Row],[NAME2]])</f>
        <v>Chris Lee</v>
      </c>
      <c r="C49" t="s">
        <v>17</v>
      </c>
      <c r="D49" t="s">
        <v>35</v>
      </c>
      <c r="E49">
        <v>58245</v>
      </c>
      <c r="F49" s="15">
        <v>42337</v>
      </c>
      <c r="G49">
        <v>4</v>
      </c>
      <c r="H49" t="s">
        <v>19</v>
      </c>
      <c r="I49" t="s">
        <v>123</v>
      </c>
    </row>
    <row r="50" spans="1:9" x14ac:dyDescent="0.25">
      <c r="A50" t="s">
        <v>124</v>
      </c>
      <c r="B50" t="str">
        <f>PROPER(Table15[[#This Row],[NAME2]])</f>
        <v>John Doe</v>
      </c>
      <c r="C50" t="s">
        <v>10</v>
      </c>
      <c r="D50" t="s">
        <v>35</v>
      </c>
      <c r="E50">
        <v>66513</v>
      </c>
      <c r="F50" s="15">
        <v>42344</v>
      </c>
      <c r="G50">
        <v>2</v>
      </c>
      <c r="H50" t="s">
        <v>19</v>
      </c>
      <c r="I50" t="s">
        <v>37</v>
      </c>
    </row>
    <row r="51" spans="1:9" x14ac:dyDescent="0.25">
      <c r="A51" t="s">
        <v>125</v>
      </c>
      <c r="B51" t="str">
        <f>PROPER(Table15[[#This Row],[NAME2]])</f>
        <v>Eve Adams</v>
      </c>
      <c r="C51" t="s">
        <v>17</v>
      </c>
      <c r="D51" t="s">
        <v>18</v>
      </c>
      <c r="E51">
        <v>78720</v>
      </c>
      <c r="F51" s="15">
        <v>42351</v>
      </c>
      <c r="G51">
        <v>5</v>
      </c>
      <c r="H51" t="s">
        <v>36</v>
      </c>
      <c r="I51" t="s">
        <v>110</v>
      </c>
    </row>
    <row r="52" spans="1:9" x14ac:dyDescent="0.25">
      <c r="A52" t="s">
        <v>126</v>
      </c>
      <c r="B52" t="str">
        <f>PROPER(Table15[[#This Row],[NAME2]])</f>
        <v>Chris Lee</v>
      </c>
      <c r="C52" t="s">
        <v>42</v>
      </c>
      <c r="D52" t="s">
        <v>295</v>
      </c>
      <c r="E52">
        <v>30686</v>
      </c>
      <c r="F52" s="15" t="s">
        <v>13</v>
      </c>
      <c r="G52">
        <v>2</v>
      </c>
      <c r="H52" t="s">
        <v>36</v>
      </c>
      <c r="I52" t="s">
        <v>127</v>
      </c>
    </row>
    <row r="53" spans="1:9" x14ac:dyDescent="0.25">
      <c r="A53" t="s">
        <v>128</v>
      </c>
      <c r="B53" t="str">
        <f>PROPER(Table15[[#This Row],[NAME2]])</f>
        <v>Sam Wilson</v>
      </c>
      <c r="C53" t="s">
        <v>26</v>
      </c>
      <c r="D53" t="s">
        <v>35</v>
      </c>
      <c r="E53">
        <v>39423</v>
      </c>
      <c r="F53" s="15">
        <v>42365</v>
      </c>
      <c r="G53">
        <v>5</v>
      </c>
      <c r="H53" t="s">
        <v>19</v>
      </c>
      <c r="I53" t="s">
        <v>129</v>
      </c>
    </row>
    <row r="54" spans="1:9" x14ac:dyDescent="0.25">
      <c r="A54" t="s">
        <v>130</v>
      </c>
      <c r="B54" t="str">
        <f>PROPER(Table15[[#This Row],[NAME2]])</f>
        <v>Eve Adams</v>
      </c>
      <c r="C54" t="s">
        <v>42</v>
      </c>
      <c r="D54" t="s">
        <v>35</v>
      </c>
      <c r="E54">
        <v>30280</v>
      </c>
      <c r="F54" s="15">
        <v>42372</v>
      </c>
      <c r="G54">
        <v>1</v>
      </c>
      <c r="H54" t="s">
        <v>19</v>
      </c>
      <c r="I54" t="s">
        <v>131</v>
      </c>
    </row>
    <row r="55" spans="1:9" x14ac:dyDescent="0.25">
      <c r="A55" t="s">
        <v>132</v>
      </c>
      <c r="B55" t="str">
        <f>PROPER(Table15[[#This Row],[NAME2]])</f>
        <v>Eve Adams</v>
      </c>
      <c r="C55" t="s">
        <v>10</v>
      </c>
      <c r="D55" t="s">
        <v>47</v>
      </c>
      <c r="E55">
        <v>33352</v>
      </c>
      <c r="F55" s="15">
        <v>42379</v>
      </c>
      <c r="G55">
        <v>3</v>
      </c>
      <c r="H55" t="s">
        <v>36</v>
      </c>
      <c r="I55" t="s">
        <v>71</v>
      </c>
    </row>
    <row r="56" spans="1:9" x14ac:dyDescent="0.25">
      <c r="A56" t="s">
        <v>133</v>
      </c>
      <c r="B56" t="str">
        <f>PROPER(Table15[[#This Row],[NAME2]])</f>
        <v>Bob Johnson</v>
      </c>
      <c r="C56" t="s">
        <v>42</v>
      </c>
      <c r="D56" t="s">
        <v>47</v>
      </c>
      <c r="E56">
        <v>75633</v>
      </c>
      <c r="F56" s="15">
        <v>42386</v>
      </c>
      <c r="G56">
        <v>5</v>
      </c>
      <c r="H56" t="s">
        <v>19</v>
      </c>
      <c r="I56" t="s">
        <v>134</v>
      </c>
    </row>
    <row r="57" spans="1:9" x14ac:dyDescent="0.25">
      <c r="A57" t="s">
        <v>135</v>
      </c>
      <c r="B57" t="str">
        <f>PROPER(Table15[[#This Row],[NAME2]])</f>
        <v>Chris Lee</v>
      </c>
      <c r="C57" t="s">
        <v>42</v>
      </c>
      <c r="D57" t="s">
        <v>27</v>
      </c>
      <c r="E57">
        <v>74815</v>
      </c>
      <c r="F57" s="15">
        <v>42393</v>
      </c>
      <c r="G57">
        <v>5</v>
      </c>
      <c r="H57" t="s">
        <v>36</v>
      </c>
      <c r="I57" t="s">
        <v>136</v>
      </c>
    </row>
    <row r="58" spans="1:9" x14ac:dyDescent="0.25">
      <c r="A58" t="s">
        <v>137</v>
      </c>
      <c r="B58" t="str">
        <f>PROPER(Table15[[#This Row],[NAME2]])</f>
        <v>John Doe</v>
      </c>
      <c r="C58" t="s">
        <v>26</v>
      </c>
      <c r="D58" t="s">
        <v>64</v>
      </c>
      <c r="E58">
        <v>60011</v>
      </c>
      <c r="F58" s="15">
        <v>42400</v>
      </c>
      <c r="G58">
        <v>1</v>
      </c>
      <c r="H58" t="s">
        <v>28</v>
      </c>
      <c r="I58" t="s">
        <v>138</v>
      </c>
    </row>
    <row r="59" spans="1:9" x14ac:dyDescent="0.25">
      <c r="A59" t="s">
        <v>139</v>
      </c>
      <c r="B59" t="str">
        <f>PROPER(Table15[[#This Row],[NAME2]])</f>
        <v>Eve Adams</v>
      </c>
      <c r="C59" t="s">
        <v>42</v>
      </c>
      <c r="D59" t="s">
        <v>35</v>
      </c>
      <c r="E59">
        <v>96949</v>
      </c>
      <c r="F59" s="15">
        <v>42407</v>
      </c>
      <c r="G59">
        <v>3</v>
      </c>
      <c r="H59" t="s">
        <v>19</v>
      </c>
      <c r="I59" t="s">
        <v>85</v>
      </c>
    </row>
    <row r="60" spans="1:9" x14ac:dyDescent="0.25">
      <c r="A60" t="s">
        <v>140</v>
      </c>
      <c r="B60" t="str">
        <f>PROPER(Table15[[#This Row],[NAME2]])</f>
        <v>Sam Wilson</v>
      </c>
      <c r="C60" t="s">
        <v>42</v>
      </c>
      <c r="D60" t="s">
        <v>35</v>
      </c>
      <c r="E60">
        <v>84924</v>
      </c>
      <c r="F60" s="15">
        <v>42414</v>
      </c>
      <c r="G60">
        <v>5</v>
      </c>
      <c r="H60" t="s">
        <v>28</v>
      </c>
      <c r="I60" t="s">
        <v>141</v>
      </c>
    </row>
    <row r="61" spans="1:9" x14ac:dyDescent="0.25">
      <c r="A61" t="s">
        <v>142</v>
      </c>
      <c r="B61" t="str">
        <f>PROPER(Table15[[#This Row],[NAME2]])</f>
        <v>Sam Wilson</v>
      </c>
      <c r="C61" t="s">
        <v>10</v>
      </c>
      <c r="D61" t="s">
        <v>27</v>
      </c>
      <c r="E61">
        <v>82033</v>
      </c>
      <c r="F61" s="15">
        <v>42421</v>
      </c>
      <c r="G61">
        <v>1</v>
      </c>
      <c r="H61" t="s">
        <v>19</v>
      </c>
      <c r="I61" t="s">
        <v>118</v>
      </c>
    </row>
    <row r="62" spans="1:9" x14ac:dyDescent="0.25">
      <c r="A62" t="s">
        <v>143</v>
      </c>
      <c r="B62" t="str">
        <f>PROPER(Table15[[#This Row],[NAME2]])</f>
        <v>Unknown</v>
      </c>
      <c r="C62" t="s">
        <v>42</v>
      </c>
      <c r="D62" t="s">
        <v>18</v>
      </c>
      <c r="E62">
        <v>66280</v>
      </c>
      <c r="F62" s="15" t="s">
        <v>13</v>
      </c>
      <c r="G62">
        <v>5</v>
      </c>
      <c r="H62" t="s">
        <v>13</v>
      </c>
      <c r="I62" t="s">
        <v>144</v>
      </c>
    </row>
    <row r="63" spans="1:9" x14ac:dyDescent="0.25">
      <c r="A63" t="s">
        <v>145</v>
      </c>
      <c r="B63" t="str">
        <f>PROPER(Table15[[#This Row],[NAME2]])</f>
        <v>Eve Adams</v>
      </c>
      <c r="C63" t="s">
        <v>42</v>
      </c>
      <c r="D63" t="s">
        <v>64</v>
      </c>
      <c r="E63">
        <v>31499</v>
      </c>
      <c r="F63" s="15">
        <v>42435</v>
      </c>
      <c r="G63">
        <v>2</v>
      </c>
      <c r="H63" t="s">
        <v>19</v>
      </c>
      <c r="I63" t="s">
        <v>102</v>
      </c>
    </row>
    <row r="64" spans="1:9" x14ac:dyDescent="0.25">
      <c r="A64" t="s">
        <v>146</v>
      </c>
      <c r="B64" t="str">
        <f>PROPER(Table15[[#This Row],[NAME2]])</f>
        <v>Chris Lee</v>
      </c>
      <c r="C64" t="s">
        <v>34</v>
      </c>
      <c r="D64" t="s">
        <v>47</v>
      </c>
      <c r="E64">
        <v>97981</v>
      </c>
      <c r="F64" s="15">
        <v>42442</v>
      </c>
      <c r="G64">
        <v>5</v>
      </c>
      <c r="H64" t="s">
        <v>36</v>
      </c>
      <c r="I64" t="s">
        <v>147</v>
      </c>
    </row>
    <row r="65" spans="1:9" x14ac:dyDescent="0.25">
      <c r="A65" t="s">
        <v>148</v>
      </c>
      <c r="B65" t="str">
        <f>PROPER(Table15[[#This Row],[NAME2]])</f>
        <v>Eve Adams</v>
      </c>
      <c r="C65" t="s">
        <v>17</v>
      </c>
      <c r="D65" t="s">
        <v>27</v>
      </c>
      <c r="E65">
        <v>36541</v>
      </c>
      <c r="F65" s="15">
        <v>42449</v>
      </c>
      <c r="G65">
        <v>2</v>
      </c>
      <c r="H65" t="s">
        <v>19</v>
      </c>
      <c r="I65" t="s">
        <v>149</v>
      </c>
    </row>
    <row r="66" spans="1:9" x14ac:dyDescent="0.25">
      <c r="A66" t="s">
        <v>150</v>
      </c>
      <c r="B66" t="str">
        <f>PROPER(Table15[[#This Row],[NAME2]])</f>
        <v>John Doe</v>
      </c>
      <c r="C66" t="s">
        <v>34</v>
      </c>
      <c r="D66" t="s">
        <v>35</v>
      </c>
      <c r="E66">
        <v>84737</v>
      </c>
      <c r="F66" s="15">
        <v>42456</v>
      </c>
      <c r="G66">
        <v>1</v>
      </c>
      <c r="H66" t="s">
        <v>28</v>
      </c>
      <c r="I66" t="s">
        <v>151</v>
      </c>
    </row>
    <row r="67" spans="1:9" x14ac:dyDescent="0.25">
      <c r="A67" t="s">
        <v>152</v>
      </c>
      <c r="B67" t="str">
        <f>PROPER(Table15[[#This Row],[NAME2]])</f>
        <v>Sam Wilson</v>
      </c>
      <c r="C67" t="s">
        <v>10</v>
      </c>
      <c r="D67" t="s">
        <v>35</v>
      </c>
      <c r="E67">
        <v>33468</v>
      </c>
      <c r="F67" s="15">
        <v>42463</v>
      </c>
      <c r="G67">
        <v>4</v>
      </c>
      <c r="H67" t="s">
        <v>28</v>
      </c>
      <c r="I67" t="s">
        <v>153</v>
      </c>
    </row>
    <row r="68" spans="1:9" x14ac:dyDescent="0.25">
      <c r="A68" t="s">
        <v>154</v>
      </c>
      <c r="B68" t="str">
        <f>PROPER(Table15[[#This Row],[NAME2]])</f>
        <v>Sam Wilson</v>
      </c>
      <c r="C68" t="s">
        <v>42</v>
      </c>
      <c r="D68" t="s">
        <v>64</v>
      </c>
      <c r="E68">
        <v>96365</v>
      </c>
      <c r="F68" s="15">
        <v>42470</v>
      </c>
      <c r="G68">
        <v>3</v>
      </c>
      <c r="H68" t="s">
        <v>19</v>
      </c>
      <c r="I68" t="s">
        <v>155</v>
      </c>
    </row>
    <row r="69" spans="1:9" x14ac:dyDescent="0.25">
      <c r="A69" t="s">
        <v>156</v>
      </c>
      <c r="B69" t="str">
        <f>PROPER(Table15[[#This Row],[NAME2]])</f>
        <v>Alice Brown</v>
      </c>
      <c r="C69" t="s">
        <v>26</v>
      </c>
      <c r="D69" t="s">
        <v>35</v>
      </c>
      <c r="E69">
        <v>61942</v>
      </c>
      <c r="F69" s="15">
        <v>42477</v>
      </c>
      <c r="G69">
        <v>3</v>
      </c>
      <c r="H69" t="s">
        <v>36</v>
      </c>
      <c r="I69" t="s">
        <v>157</v>
      </c>
    </row>
    <row r="70" spans="1:9" x14ac:dyDescent="0.25">
      <c r="A70" t="s">
        <v>158</v>
      </c>
      <c r="B70" t="str">
        <f>PROPER(Table15[[#This Row],[NAME2]])</f>
        <v>Sam Wilson</v>
      </c>
      <c r="C70" t="s">
        <v>10</v>
      </c>
      <c r="D70" t="s">
        <v>47</v>
      </c>
      <c r="E70">
        <v>41467</v>
      </c>
      <c r="F70" s="15">
        <v>42484</v>
      </c>
      <c r="G70">
        <v>2</v>
      </c>
      <c r="H70" t="s">
        <v>19</v>
      </c>
      <c r="I70" t="s">
        <v>73</v>
      </c>
    </row>
    <row r="71" spans="1:9" x14ac:dyDescent="0.25">
      <c r="A71" t="s">
        <v>159</v>
      </c>
      <c r="B71" t="str">
        <f>PROPER(Table15[[#This Row],[NAME2]])</f>
        <v>Bob Johnson</v>
      </c>
      <c r="C71" t="s">
        <v>10</v>
      </c>
      <c r="D71" t="s">
        <v>35</v>
      </c>
      <c r="E71">
        <v>77096</v>
      </c>
      <c r="F71" s="15">
        <v>42491</v>
      </c>
      <c r="G71">
        <v>1</v>
      </c>
      <c r="H71" t="s">
        <v>19</v>
      </c>
      <c r="I71" t="s">
        <v>160</v>
      </c>
    </row>
    <row r="72" spans="1:9" x14ac:dyDescent="0.25">
      <c r="A72" t="s">
        <v>161</v>
      </c>
      <c r="B72" t="str">
        <f>PROPER(Table15[[#This Row],[NAME2]])</f>
        <v>Eve Adams</v>
      </c>
      <c r="C72" t="s">
        <v>26</v>
      </c>
      <c r="D72" t="s">
        <v>64</v>
      </c>
      <c r="E72">
        <v>69952</v>
      </c>
      <c r="F72" s="15">
        <v>42498</v>
      </c>
      <c r="G72">
        <v>5</v>
      </c>
      <c r="H72" t="s">
        <v>36</v>
      </c>
      <c r="I72" t="s">
        <v>14</v>
      </c>
    </row>
    <row r="73" spans="1:9" x14ac:dyDescent="0.25">
      <c r="A73" t="s">
        <v>162</v>
      </c>
      <c r="B73" t="str">
        <f>PROPER(Table15[[#This Row],[NAME2]])</f>
        <v>Eve Adams</v>
      </c>
      <c r="C73" t="s">
        <v>42</v>
      </c>
      <c r="D73" t="s">
        <v>27</v>
      </c>
      <c r="E73">
        <v>85065</v>
      </c>
      <c r="F73" s="15">
        <v>42505</v>
      </c>
      <c r="G73">
        <v>3</v>
      </c>
      <c r="H73" t="s">
        <v>19</v>
      </c>
      <c r="I73" t="s">
        <v>163</v>
      </c>
    </row>
    <row r="74" spans="1:9" x14ac:dyDescent="0.25">
      <c r="A74" t="s">
        <v>164</v>
      </c>
      <c r="B74" t="str">
        <f>PROPER(Table15[[#This Row],[NAME2]])</f>
        <v>Bob Johnson</v>
      </c>
      <c r="C74" t="s">
        <v>42</v>
      </c>
      <c r="D74" t="s">
        <v>35</v>
      </c>
      <c r="E74">
        <v>56512</v>
      </c>
      <c r="F74" s="15">
        <v>42512</v>
      </c>
      <c r="G74">
        <v>3</v>
      </c>
      <c r="H74" t="s">
        <v>19</v>
      </c>
      <c r="I74" t="s">
        <v>48</v>
      </c>
    </row>
    <row r="75" spans="1:9" x14ac:dyDescent="0.25">
      <c r="A75" t="s">
        <v>165</v>
      </c>
      <c r="B75" t="str">
        <f>PROPER(Table15[[#This Row],[NAME2]])</f>
        <v>John Doe</v>
      </c>
      <c r="C75" t="s">
        <v>26</v>
      </c>
      <c r="D75" t="s">
        <v>35</v>
      </c>
      <c r="E75">
        <v>91101</v>
      </c>
      <c r="F75" s="15">
        <v>42519</v>
      </c>
      <c r="G75">
        <v>4</v>
      </c>
      <c r="H75" t="s">
        <v>36</v>
      </c>
      <c r="I75" t="s">
        <v>147</v>
      </c>
    </row>
    <row r="76" spans="1:9" x14ac:dyDescent="0.25">
      <c r="A76" t="s">
        <v>166</v>
      </c>
      <c r="B76" t="str">
        <f>PROPER(Table15[[#This Row],[NAME2]])</f>
        <v>Sam Wilson</v>
      </c>
      <c r="C76" t="s">
        <v>42</v>
      </c>
      <c r="D76" t="s">
        <v>18</v>
      </c>
      <c r="E76">
        <v>41243</v>
      </c>
      <c r="F76" s="15">
        <v>42526</v>
      </c>
      <c r="G76">
        <v>3</v>
      </c>
      <c r="H76" t="s">
        <v>19</v>
      </c>
      <c r="I76" t="s">
        <v>93</v>
      </c>
    </row>
    <row r="77" spans="1:9" x14ac:dyDescent="0.25">
      <c r="A77" t="s">
        <v>167</v>
      </c>
      <c r="B77" t="str">
        <f>PROPER(Table15[[#This Row],[NAME2]])</f>
        <v>Unknown</v>
      </c>
      <c r="C77" t="s">
        <v>26</v>
      </c>
      <c r="D77" t="s">
        <v>11</v>
      </c>
      <c r="E77">
        <v>96142</v>
      </c>
      <c r="F77" s="15">
        <v>42533</v>
      </c>
      <c r="G77">
        <v>1</v>
      </c>
      <c r="H77" t="s">
        <v>19</v>
      </c>
      <c r="I77" t="s">
        <v>168</v>
      </c>
    </row>
    <row r="78" spans="1:9" x14ac:dyDescent="0.25">
      <c r="A78" t="s">
        <v>169</v>
      </c>
      <c r="B78" t="str">
        <f>PROPER(Table15[[#This Row],[NAME2]])</f>
        <v>Eve Adams</v>
      </c>
      <c r="C78" t="s">
        <v>34</v>
      </c>
      <c r="D78" t="s">
        <v>35</v>
      </c>
      <c r="E78">
        <v>94301</v>
      </c>
      <c r="F78" s="15">
        <v>42540</v>
      </c>
      <c r="G78">
        <v>1</v>
      </c>
      <c r="H78" t="s">
        <v>28</v>
      </c>
      <c r="I78" t="s">
        <v>118</v>
      </c>
    </row>
    <row r="79" spans="1:9" x14ac:dyDescent="0.25">
      <c r="A79" t="s">
        <v>170</v>
      </c>
      <c r="B79" t="str">
        <f>PROPER(Table15[[#This Row],[NAME2]])</f>
        <v>Jane Smith</v>
      </c>
      <c r="C79" t="s">
        <v>42</v>
      </c>
      <c r="D79" t="s">
        <v>47</v>
      </c>
      <c r="E79">
        <v>69166</v>
      </c>
      <c r="F79" s="15">
        <v>42547</v>
      </c>
      <c r="G79">
        <v>1</v>
      </c>
      <c r="H79" t="s">
        <v>36</v>
      </c>
      <c r="I79" t="s">
        <v>171</v>
      </c>
    </row>
    <row r="80" spans="1:9" x14ac:dyDescent="0.25">
      <c r="A80" t="s">
        <v>172</v>
      </c>
      <c r="B80" t="str">
        <f>PROPER(Table15[[#This Row],[NAME2]])</f>
        <v>Sam Wilson</v>
      </c>
      <c r="C80" t="s">
        <v>42</v>
      </c>
      <c r="D80" t="s">
        <v>47</v>
      </c>
      <c r="E80">
        <v>78245</v>
      </c>
      <c r="F80" s="15">
        <v>42554</v>
      </c>
      <c r="G80">
        <v>2</v>
      </c>
      <c r="H80" t="s">
        <v>19</v>
      </c>
      <c r="I80" t="s">
        <v>173</v>
      </c>
    </row>
    <row r="81" spans="1:9" x14ac:dyDescent="0.25">
      <c r="A81" t="s">
        <v>174</v>
      </c>
      <c r="B81" t="str">
        <f>PROPER(Table15[[#This Row],[NAME2]])</f>
        <v>Chris Lee</v>
      </c>
      <c r="C81" t="s">
        <v>26</v>
      </c>
      <c r="D81" t="s">
        <v>27</v>
      </c>
      <c r="E81">
        <v>66079</v>
      </c>
      <c r="F81" s="15">
        <v>42561</v>
      </c>
      <c r="G81">
        <v>2</v>
      </c>
      <c r="H81" t="s">
        <v>19</v>
      </c>
      <c r="I81" t="s">
        <v>175</v>
      </c>
    </row>
    <row r="82" spans="1:9" x14ac:dyDescent="0.25">
      <c r="A82" t="s">
        <v>176</v>
      </c>
      <c r="B82" t="str">
        <f>PROPER(Table15[[#This Row],[NAME2]])</f>
        <v>Eve Adams</v>
      </c>
      <c r="C82" t="s">
        <v>42</v>
      </c>
      <c r="D82" t="s">
        <v>35</v>
      </c>
      <c r="E82">
        <v>66280</v>
      </c>
      <c r="F82" s="15" t="s">
        <v>13</v>
      </c>
      <c r="G82">
        <v>3</v>
      </c>
      <c r="H82" t="s">
        <v>19</v>
      </c>
      <c r="I82" t="s">
        <v>87</v>
      </c>
    </row>
    <row r="83" spans="1:9" x14ac:dyDescent="0.25">
      <c r="A83" t="s">
        <v>177</v>
      </c>
      <c r="B83" t="str">
        <f>PROPER(Table15[[#This Row],[NAME2]])</f>
        <v>Jane Smith</v>
      </c>
      <c r="C83" t="s">
        <v>26</v>
      </c>
      <c r="D83" t="s">
        <v>27</v>
      </c>
      <c r="E83">
        <v>95621</v>
      </c>
      <c r="F83" s="15">
        <v>42575</v>
      </c>
      <c r="G83">
        <v>3</v>
      </c>
      <c r="H83" t="s">
        <v>36</v>
      </c>
      <c r="I83" t="s">
        <v>178</v>
      </c>
    </row>
    <row r="84" spans="1:9" x14ac:dyDescent="0.25">
      <c r="A84" t="s">
        <v>179</v>
      </c>
      <c r="B84" t="str">
        <f>PROPER(Table15[[#This Row],[NAME2]])</f>
        <v>Eve Adams</v>
      </c>
      <c r="C84" t="s">
        <v>34</v>
      </c>
      <c r="D84" t="s">
        <v>47</v>
      </c>
      <c r="E84">
        <v>42262</v>
      </c>
      <c r="F84" s="15">
        <v>42582</v>
      </c>
      <c r="G84">
        <v>1</v>
      </c>
      <c r="H84" t="s">
        <v>19</v>
      </c>
      <c r="I84" t="s">
        <v>180</v>
      </c>
    </row>
    <row r="85" spans="1:9" x14ac:dyDescent="0.25">
      <c r="A85" t="s">
        <v>181</v>
      </c>
      <c r="B85" t="str">
        <f>PROPER(Table15[[#This Row],[NAME2]])</f>
        <v>Sam Wilson</v>
      </c>
      <c r="C85" t="s">
        <v>26</v>
      </c>
      <c r="D85" t="s">
        <v>35</v>
      </c>
      <c r="E85">
        <v>99621</v>
      </c>
      <c r="F85" s="15">
        <v>42589</v>
      </c>
      <c r="G85">
        <v>3</v>
      </c>
      <c r="H85" t="s">
        <v>19</v>
      </c>
      <c r="I85" t="s">
        <v>182</v>
      </c>
    </row>
    <row r="86" spans="1:9" x14ac:dyDescent="0.25">
      <c r="A86" t="s">
        <v>183</v>
      </c>
      <c r="B86" t="str">
        <f>PROPER(Table15[[#This Row],[NAME2]])</f>
        <v>John Doe</v>
      </c>
      <c r="C86" t="s">
        <v>42</v>
      </c>
      <c r="D86" t="s">
        <v>35</v>
      </c>
      <c r="E86">
        <v>44682</v>
      </c>
      <c r="F86" s="15">
        <v>42596</v>
      </c>
      <c r="G86">
        <v>4</v>
      </c>
      <c r="H86" t="s">
        <v>36</v>
      </c>
      <c r="I86" t="s">
        <v>112</v>
      </c>
    </row>
    <row r="87" spans="1:9" x14ac:dyDescent="0.25">
      <c r="A87" t="s">
        <v>184</v>
      </c>
      <c r="B87" t="str">
        <f>PROPER(Table15[[#This Row],[NAME2]])</f>
        <v>Chris Lee</v>
      </c>
      <c r="C87" t="s">
        <v>10</v>
      </c>
      <c r="D87" t="s">
        <v>35</v>
      </c>
      <c r="E87">
        <v>35163</v>
      </c>
      <c r="F87" s="15">
        <v>42603</v>
      </c>
      <c r="G87">
        <v>5</v>
      </c>
      <c r="H87" t="s">
        <v>19</v>
      </c>
      <c r="I87" t="s">
        <v>185</v>
      </c>
    </row>
    <row r="88" spans="1:9" x14ac:dyDescent="0.25">
      <c r="A88" t="s">
        <v>186</v>
      </c>
      <c r="B88" t="str">
        <f>PROPER(Table15[[#This Row],[NAME2]])</f>
        <v>Chris Lee</v>
      </c>
      <c r="C88" t="s">
        <v>34</v>
      </c>
      <c r="D88" t="s">
        <v>35</v>
      </c>
      <c r="E88">
        <v>33483</v>
      </c>
      <c r="F88" s="15">
        <v>42610</v>
      </c>
      <c r="G88">
        <v>4</v>
      </c>
      <c r="H88" t="s">
        <v>28</v>
      </c>
      <c r="I88" t="s">
        <v>187</v>
      </c>
    </row>
    <row r="89" spans="1:9" x14ac:dyDescent="0.25">
      <c r="A89" t="s">
        <v>188</v>
      </c>
      <c r="B89" t="str">
        <f>PROPER(Table15[[#This Row],[NAME2]])</f>
        <v>Sam Wilson</v>
      </c>
      <c r="C89" t="s">
        <v>17</v>
      </c>
      <c r="D89" t="s">
        <v>18</v>
      </c>
      <c r="E89">
        <v>55303</v>
      </c>
      <c r="F89" s="15">
        <v>42617</v>
      </c>
      <c r="G89">
        <v>4</v>
      </c>
      <c r="H89" t="s">
        <v>28</v>
      </c>
      <c r="I89" t="s">
        <v>77</v>
      </c>
    </row>
    <row r="90" spans="1:9" x14ac:dyDescent="0.25">
      <c r="A90" t="s">
        <v>189</v>
      </c>
      <c r="B90" t="str">
        <f>PROPER(Table15[[#This Row],[NAME2]])</f>
        <v>Chris Lee</v>
      </c>
      <c r="C90" t="s">
        <v>34</v>
      </c>
      <c r="D90" t="s">
        <v>35</v>
      </c>
      <c r="E90">
        <v>63434</v>
      </c>
      <c r="F90" s="15">
        <v>42624</v>
      </c>
      <c r="G90">
        <v>3</v>
      </c>
      <c r="H90" t="s">
        <v>19</v>
      </c>
      <c r="I90" t="s">
        <v>190</v>
      </c>
    </row>
    <row r="91" spans="1:9" x14ac:dyDescent="0.25">
      <c r="A91" t="s">
        <v>191</v>
      </c>
      <c r="B91" t="str">
        <f>PROPER(Table15[[#This Row],[NAME2]])</f>
        <v>Jane Smith</v>
      </c>
      <c r="C91" t="s">
        <v>42</v>
      </c>
      <c r="D91" t="s">
        <v>64</v>
      </c>
      <c r="E91">
        <v>38830</v>
      </c>
      <c r="F91" s="15">
        <v>42631</v>
      </c>
      <c r="G91">
        <v>3</v>
      </c>
      <c r="H91" t="s">
        <v>19</v>
      </c>
      <c r="I91" t="s">
        <v>77</v>
      </c>
    </row>
    <row r="92" spans="1:9" x14ac:dyDescent="0.25">
      <c r="A92" t="s">
        <v>192</v>
      </c>
      <c r="B92" t="str">
        <f>PROPER(Table15[[#This Row],[NAME2]])</f>
        <v>Unknown</v>
      </c>
      <c r="C92" t="s">
        <v>42</v>
      </c>
      <c r="D92" t="s">
        <v>47</v>
      </c>
      <c r="E92">
        <v>50741</v>
      </c>
      <c r="F92" s="15">
        <v>42638</v>
      </c>
      <c r="G92">
        <v>3</v>
      </c>
      <c r="H92" t="s">
        <v>13</v>
      </c>
      <c r="I92" t="s">
        <v>160</v>
      </c>
    </row>
    <row r="93" spans="1:9" x14ac:dyDescent="0.25">
      <c r="A93" t="s">
        <v>193</v>
      </c>
      <c r="B93" t="str">
        <f>PROPER(Table15[[#This Row],[NAME2]])</f>
        <v>Alice Brown</v>
      </c>
      <c r="C93" t="s">
        <v>17</v>
      </c>
      <c r="D93" t="s">
        <v>64</v>
      </c>
      <c r="E93">
        <v>69420</v>
      </c>
      <c r="F93" s="15">
        <v>42645</v>
      </c>
      <c r="G93">
        <v>1</v>
      </c>
      <c r="H93" t="s">
        <v>28</v>
      </c>
      <c r="I93" t="s">
        <v>123</v>
      </c>
    </row>
    <row r="94" spans="1:9" x14ac:dyDescent="0.25">
      <c r="A94" t="s">
        <v>194</v>
      </c>
      <c r="B94" t="str">
        <f>PROPER(Table15[[#This Row],[NAME2]])</f>
        <v>Jane Smith</v>
      </c>
      <c r="C94" t="s">
        <v>34</v>
      </c>
      <c r="D94" t="s">
        <v>35</v>
      </c>
      <c r="E94">
        <v>80588</v>
      </c>
      <c r="F94" s="15">
        <v>42652</v>
      </c>
      <c r="G94">
        <v>5</v>
      </c>
      <c r="H94" t="s">
        <v>28</v>
      </c>
      <c r="I94" t="s">
        <v>104</v>
      </c>
    </row>
    <row r="95" spans="1:9" x14ac:dyDescent="0.25">
      <c r="A95" t="s">
        <v>195</v>
      </c>
      <c r="B95" t="str">
        <f>PROPER(Table15[[#This Row],[NAME2]])</f>
        <v>Alice Brown</v>
      </c>
      <c r="C95" t="s">
        <v>42</v>
      </c>
      <c r="D95" t="s">
        <v>27</v>
      </c>
      <c r="E95">
        <v>76238</v>
      </c>
      <c r="F95" s="15">
        <v>42659</v>
      </c>
      <c r="G95">
        <v>4</v>
      </c>
      <c r="H95" t="s">
        <v>28</v>
      </c>
      <c r="I95" t="s">
        <v>196</v>
      </c>
    </row>
    <row r="96" spans="1:9" x14ac:dyDescent="0.25">
      <c r="A96" t="s">
        <v>197</v>
      </c>
      <c r="B96" t="str">
        <f>PROPER(Table15[[#This Row],[NAME2]])</f>
        <v>Bob Johnson</v>
      </c>
      <c r="C96" t="s">
        <v>34</v>
      </c>
      <c r="D96" t="s">
        <v>35</v>
      </c>
      <c r="E96">
        <v>33264</v>
      </c>
      <c r="F96" s="15">
        <v>42666</v>
      </c>
      <c r="G96">
        <v>3</v>
      </c>
      <c r="H96" t="s">
        <v>36</v>
      </c>
      <c r="I96" t="s">
        <v>198</v>
      </c>
    </row>
    <row r="97" spans="1:9" x14ac:dyDescent="0.25">
      <c r="A97" t="s">
        <v>199</v>
      </c>
      <c r="B97" t="str">
        <f>PROPER(Table15[[#This Row],[NAME2]])</f>
        <v>Alice Brown</v>
      </c>
      <c r="C97" t="s">
        <v>10</v>
      </c>
      <c r="D97" t="s">
        <v>64</v>
      </c>
      <c r="E97">
        <v>96101</v>
      </c>
      <c r="F97" s="15">
        <v>42673</v>
      </c>
      <c r="G97">
        <v>3</v>
      </c>
      <c r="H97" t="s">
        <v>19</v>
      </c>
      <c r="I97" t="s">
        <v>200</v>
      </c>
    </row>
    <row r="98" spans="1:9" x14ac:dyDescent="0.25">
      <c r="A98" t="s">
        <v>201</v>
      </c>
      <c r="B98" t="str">
        <f>PROPER(Table15[[#This Row],[NAME2]])</f>
        <v>Jane Smith</v>
      </c>
      <c r="C98" t="s">
        <v>10</v>
      </c>
      <c r="D98" t="s">
        <v>27</v>
      </c>
      <c r="E98">
        <v>72939</v>
      </c>
      <c r="F98" s="15">
        <v>42680</v>
      </c>
      <c r="G98">
        <v>3</v>
      </c>
      <c r="H98" t="s">
        <v>19</v>
      </c>
      <c r="I98" t="s">
        <v>202</v>
      </c>
    </row>
    <row r="99" spans="1:9" x14ac:dyDescent="0.25">
      <c r="A99" t="s">
        <v>203</v>
      </c>
      <c r="B99" t="str">
        <f>PROPER(Table15[[#This Row],[NAME2]])</f>
        <v>Sam Wilson</v>
      </c>
      <c r="C99" t="s">
        <v>17</v>
      </c>
      <c r="D99" t="s">
        <v>18</v>
      </c>
      <c r="E99">
        <v>89333</v>
      </c>
      <c r="F99" s="15">
        <v>42687</v>
      </c>
      <c r="G99">
        <v>1</v>
      </c>
      <c r="H99" t="s">
        <v>28</v>
      </c>
      <c r="I99" t="s">
        <v>204</v>
      </c>
    </row>
    <row r="100" spans="1:9" x14ac:dyDescent="0.25">
      <c r="A100" t="s">
        <v>205</v>
      </c>
      <c r="B100" t="str">
        <f>PROPER(Table15[[#This Row],[NAME2]])</f>
        <v>Bob Johnson</v>
      </c>
      <c r="C100" t="s">
        <v>34</v>
      </c>
      <c r="D100" t="s">
        <v>64</v>
      </c>
      <c r="E100">
        <v>70470</v>
      </c>
      <c r="F100" s="15">
        <v>42694</v>
      </c>
      <c r="G100">
        <v>3</v>
      </c>
      <c r="H100" t="s">
        <v>28</v>
      </c>
      <c r="I100" t="s">
        <v>206</v>
      </c>
    </row>
    <row r="101" spans="1:9" x14ac:dyDescent="0.25">
      <c r="A101" t="s">
        <v>207</v>
      </c>
      <c r="B101" t="str">
        <f>PROPER(Table15[[#This Row],[NAME2]])</f>
        <v>Eve Adams</v>
      </c>
      <c r="C101" t="s">
        <v>42</v>
      </c>
      <c r="D101" t="s">
        <v>27</v>
      </c>
      <c r="E101">
        <v>70096</v>
      </c>
      <c r="F101" s="15">
        <v>42701</v>
      </c>
      <c r="G101">
        <v>4</v>
      </c>
      <c r="H101" t="s">
        <v>28</v>
      </c>
      <c r="I101" t="s">
        <v>208</v>
      </c>
    </row>
    <row r="102" spans="1:9" x14ac:dyDescent="0.25">
      <c r="A102" t="s">
        <v>209</v>
      </c>
      <c r="B102" t="str">
        <f>PROPER(Table15[[#This Row],[NAME2]])</f>
        <v>Bob Johnson</v>
      </c>
      <c r="C102" t="s">
        <v>42</v>
      </c>
      <c r="D102" t="s">
        <v>11</v>
      </c>
      <c r="E102">
        <v>66280</v>
      </c>
      <c r="F102" s="15">
        <v>42708</v>
      </c>
      <c r="G102">
        <v>2</v>
      </c>
      <c r="H102" t="s">
        <v>19</v>
      </c>
      <c r="I102" t="s">
        <v>210</v>
      </c>
    </row>
    <row r="103" spans="1:9" x14ac:dyDescent="0.25">
      <c r="A103" t="s">
        <v>211</v>
      </c>
      <c r="B103" t="str">
        <f>PROPER(Table15[[#This Row],[NAME2]])</f>
        <v>Bob Johnson</v>
      </c>
      <c r="C103" t="s">
        <v>34</v>
      </c>
      <c r="D103" t="s">
        <v>18</v>
      </c>
      <c r="E103">
        <v>66503</v>
      </c>
      <c r="F103" s="15">
        <v>42715</v>
      </c>
      <c r="G103">
        <v>3</v>
      </c>
      <c r="H103" t="s">
        <v>28</v>
      </c>
      <c r="I103" t="s">
        <v>71</v>
      </c>
    </row>
    <row r="104" spans="1:9" x14ac:dyDescent="0.25">
      <c r="A104" t="s">
        <v>212</v>
      </c>
      <c r="B104" t="str">
        <f>PROPER(Table15[[#This Row],[NAME2]])</f>
        <v>Alice Brown</v>
      </c>
      <c r="C104" t="s">
        <v>17</v>
      </c>
      <c r="D104" t="s">
        <v>18</v>
      </c>
      <c r="E104">
        <v>42096</v>
      </c>
      <c r="F104" s="15">
        <v>42722</v>
      </c>
      <c r="G104">
        <v>3</v>
      </c>
      <c r="H104" t="s">
        <v>36</v>
      </c>
      <c r="I104" t="s">
        <v>213</v>
      </c>
    </row>
    <row r="105" spans="1:9" x14ac:dyDescent="0.25">
      <c r="A105" t="s">
        <v>214</v>
      </c>
      <c r="B105" t="str">
        <f>PROPER(Table15[[#This Row],[NAME2]])</f>
        <v>Alice Brown</v>
      </c>
      <c r="C105" t="s">
        <v>42</v>
      </c>
      <c r="D105" t="s">
        <v>35</v>
      </c>
      <c r="E105">
        <v>79145</v>
      </c>
      <c r="F105" s="15">
        <v>42729</v>
      </c>
      <c r="G105">
        <v>5</v>
      </c>
      <c r="H105" t="s">
        <v>19</v>
      </c>
      <c r="I105" t="s">
        <v>118</v>
      </c>
    </row>
    <row r="106" spans="1:9" x14ac:dyDescent="0.25">
      <c r="A106" t="s">
        <v>215</v>
      </c>
      <c r="B106" t="str">
        <f>PROPER(Table15[[#This Row],[NAME2]])</f>
        <v>Jane Smith</v>
      </c>
      <c r="C106" t="s">
        <v>42</v>
      </c>
      <c r="D106" t="s">
        <v>64</v>
      </c>
      <c r="E106">
        <v>61556</v>
      </c>
      <c r="F106" s="15">
        <v>42736</v>
      </c>
      <c r="G106">
        <v>1</v>
      </c>
      <c r="H106" t="s">
        <v>19</v>
      </c>
      <c r="I106" t="s">
        <v>210</v>
      </c>
    </row>
    <row r="107" spans="1:9" x14ac:dyDescent="0.25">
      <c r="A107" t="s">
        <v>216</v>
      </c>
      <c r="B107" t="str">
        <f>PROPER(Table15[[#This Row],[NAME2]])</f>
        <v>Unknown</v>
      </c>
      <c r="C107" t="s">
        <v>17</v>
      </c>
      <c r="D107" t="s">
        <v>47</v>
      </c>
      <c r="E107">
        <v>87963</v>
      </c>
      <c r="F107" s="15">
        <v>42743</v>
      </c>
      <c r="G107">
        <v>3</v>
      </c>
      <c r="H107" t="s">
        <v>19</v>
      </c>
      <c r="I107" t="s">
        <v>14</v>
      </c>
    </row>
    <row r="108" spans="1:9" x14ac:dyDescent="0.25">
      <c r="A108" t="s">
        <v>217</v>
      </c>
      <c r="B108" t="str">
        <f>PROPER(Table15[[#This Row],[NAME2]])</f>
        <v>Eve Adams</v>
      </c>
      <c r="C108" t="s">
        <v>34</v>
      </c>
      <c r="D108" t="s">
        <v>35</v>
      </c>
      <c r="E108">
        <v>48325</v>
      </c>
      <c r="F108" s="15">
        <v>42750</v>
      </c>
      <c r="G108">
        <v>3</v>
      </c>
      <c r="H108" t="s">
        <v>28</v>
      </c>
      <c r="I108" t="s">
        <v>218</v>
      </c>
    </row>
    <row r="109" spans="1:9" x14ac:dyDescent="0.25">
      <c r="A109" t="s">
        <v>219</v>
      </c>
      <c r="B109" t="str">
        <f>PROPER(Table15[[#This Row],[NAME2]])</f>
        <v>Sam Wilson</v>
      </c>
      <c r="C109" t="s">
        <v>42</v>
      </c>
      <c r="D109" t="s">
        <v>64</v>
      </c>
      <c r="E109">
        <v>86412</v>
      </c>
      <c r="F109" s="15">
        <v>42757</v>
      </c>
      <c r="G109">
        <v>2</v>
      </c>
      <c r="H109" t="s">
        <v>36</v>
      </c>
      <c r="I109" t="s">
        <v>75</v>
      </c>
    </row>
    <row r="110" spans="1:9" x14ac:dyDescent="0.25">
      <c r="A110" t="s">
        <v>220</v>
      </c>
      <c r="B110" t="str">
        <f>PROPER(Table15[[#This Row],[NAME2]])</f>
        <v>Sam Wilson</v>
      </c>
      <c r="C110" t="s">
        <v>17</v>
      </c>
      <c r="D110" t="s">
        <v>35</v>
      </c>
      <c r="E110">
        <v>66761</v>
      </c>
      <c r="F110" s="15">
        <v>42764</v>
      </c>
      <c r="G110">
        <v>1</v>
      </c>
      <c r="H110" t="s">
        <v>19</v>
      </c>
      <c r="I110" t="s">
        <v>221</v>
      </c>
    </row>
    <row r="111" spans="1:9" x14ac:dyDescent="0.25">
      <c r="A111" t="s">
        <v>222</v>
      </c>
      <c r="B111" t="str">
        <f>PROPER(Table15[[#This Row],[NAME2]])</f>
        <v>Jane Smith</v>
      </c>
      <c r="C111" t="s">
        <v>42</v>
      </c>
      <c r="D111" t="s">
        <v>35</v>
      </c>
      <c r="E111">
        <v>88850</v>
      </c>
      <c r="F111" s="15">
        <v>42771</v>
      </c>
      <c r="G111">
        <v>1</v>
      </c>
      <c r="H111" t="s">
        <v>36</v>
      </c>
      <c r="I111" t="s">
        <v>223</v>
      </c>
    </row>
    <row r="112" spans="1:9" x14ac:dyDescent="0.25">
      <c r="A112" t="s">
        <v>224</v>
      </c>
      <c r="B112" t="str">
        <f>PROPER(Table15[[#This Row],[NAME2]])</f>
        <v>Chris Lee</v>
      </c>
      <c r="C112" t="s">
        <v>26</v>
      </c>
      <c r="D112" t="s">
        <v>35</v>
      </c>
      <c r="E112">
        <v>31293</v>
      </c>
      <c r="F112" s="15" t="s">
        <v>13</v>
      </c>
      <c r="G112">
        <v>2</v>
      </c>
      <c r="H112" t="s">
        <v>36</v>
      </c>
      <c r="I112" t="s">
        <v>225</v>
      </c>
    </row>
    <row r="113" spans="1:9" x14ac:dyDescent="0.25">
      <c r="A113" t="s">
        <v>226</v>
      </c>
      <c r="B113" t="str">
        <f>PROPER(Table15[[#This Row],[NAME2]])</f>
        <v>Chris Lee</v>
      </c>
      <c r="C113" t="s">
        <v>34</v>
      </c>
      <c r="D113" t="s">
        <v>27</v>
      </c>
      <c r="E113">
        <v>34306</v>
      </c>
      <c r="F113" s="15">
        <v>42785</v>
      </c>
      <c r="G113">
        <v>5</v>
      </c>
      <c r="H113" t="s">
        <v>36</v>
      </c>
      <c r="I113" t="s">
        <v>157</v>
      </c>
    </row>
    <row r="114" spans="1:9" x14ac:dyDescent="0.25">
      <c r="A114" t="s">
        <v>227</v>
      </c>
      <c r="B114" t="str">
        <f>PROPER(Table15[[#This Row],[NAME2]])</f>
        <v>Eve Adams</v>
      </c>
      <c r="C114" t="s">
        <v>10</v>
      </c>
      <c r="D114" t="s">
        <v>35</v>
      </c>
      <c r="E114">
        <v>78330</v>
      </c>
      <c r="F114" s="15">
        <v>42792</v>
      </c>
      <c r="G114">
        <v>3</v>
      </c>
      <c r="H114" t="s">
        <v>19</v>
      </c>
      <c r="I114" t="s">
        <v>208</v>
      </c>
    </row>
    <row r="115" spans="1:9" x14ac:dyDescent="0.25">
      <c r="A115" t="s">
        <v>228</v>
      </c>
      <c r="B115" t="str">
        <f>PROPER(Table15[[#This Row],[NAME2]])</f>
        <v>Alice Brown</v>
      </c>
      <c r="C115" t="s">
        <v>34</v>
      </c>
      <c r="D115" t="s">
        <v>27</v>
      </c>
      <c r="E115">
        <v>47653</v>
      </c>
      <c r="F115" s="15">
        <v>42799</v>
      </c>
      <c r="G115">
        <v>1</v>
      </c>
      <c r="H115" t="s">
        <v>28</v>
      </c>
      <c r="I115" t="s">
        <v>229</v>
      </c>
    </row>
    <row r="116" spans="1:9" x14ac:dyDescent="0.25">
      <c r="A116" t="s">
        <v>230</v>
      </c>
      <c r="B116" t="str">
        <f>PROPER(Table15[[#This Row],[NAME2]])</f>
        <v>Eve Adams</v>
      </c>
      <c r="C116" t="s">
        <v>42</v>
      </c>
      <c r="D116" t="s">
        <v>47</v>
      </c>
      <c r="E116">
        <v>44627</v>
      </c>
      <c r="F116" s="15">
        <v>42806</v>
      </c>
      <c r="G116">
        <v>4</v>
      </c>
      <c r="H116" t="s">
        <v>19</v>
      </c>
      <c r="I116" t="s">
        <v>149</v>
      </c>
    </row>
    <row r="117" spans="1:9" x14ac:dyDescent="0.25">
      <c r="A117" t="s">
        <v>231</v>
      </c>
      <c r="B117" t="str">
        <f>PROPER(Table15[[#This Row],[NAME2]])</f>
        <v>Bob Johnson</v>
      </c>
      <c r="C117" t="s">
        <v>17</v>
      </c>
      <c r="D117" t="s">
        <v>18</v>
      </c>
      <c r="E117">
        <v>92343</v>
      </c>
      <c r="F117" s="15">
        <v>42813</v>
      </c>
      <c r="G117">
        <v>4</v>
      </c>
      <c r="H117" t="s">
        <v>36</v>
      </c>
      <c r="I117" t="s">
        <v>77</v>
      </c>
    </row>
    <row r="118" spans="1:9" x14ac:dyDescent="0.25">
      <c r="A118" t="s">
        <v>232</v>
      </c>
      <c r="B118" t="str">
        <f>PROPER(Table15[[#This Row],[NAME2]])</f>
        <v>Bob Johnson</v>
      </c>
      <c r="C118" t="s">
        <v>42</v>
      </c>
      <c r="D118" t="s">
        <v>64</v>
      </c>
      <c r="E118">
        <v>38837</v>
      </c>
      <c r="F118" s="15">
        <v>42820</v>
      </c>
      <c r="G118">
        <v>5</v>
      </c>
      <c r="H118" t="s">
        <v>36</v>
      </c>
      <c r="I118" t="s">
        <v>157</v>
      </c>
    </row>
    <row r="119" spans="1:9" x14ac:dyDescent="0.25">
      <c r="A119" t="s">
        <v>233</v>
      </c>
      <c r="B119" t="str">
        <f>PROPER(Table15[[#This Row],[NAME2]])</f>
        <v>Bob Johnson</v>
      </c>
      <c r="C119" t="s">
        <v>42</v>
      </c>
      <c r="D119" t="s">
        <v>35</v>
      </c>
      <c r="E119">
        <v>73483</v>
      </c>
      <c r="F119" s="15">
        <v>42827</v>
      </c>
      <c r="G119">
        <v>1</v>
      </c>
      <c r="H119" t="s">
        <v>19</v>
      </c>
      <c r="I119" t="s">
        <v>234</v>
      </c>
    </row>
    <row r="120" spans="1:9" x14ac:dyDescent="0.25">
      <c r="A120" t="s">
        <v>235</v>
      </c>
      <c r="B120" t="str">
        <f>PROPER(Table15[[#This Row],[NAME2]])</f>
        <v>Chris Lee</v>
      </c>
      <c r="C120" t="s">
        <v>26</v>
      </c>
      <c r="D120" t="s">
        <v>35</v>
      </c>
      <c r="E120">
        <v>95032</v>
      </c>
      <c r="F120" s="15">
        <v>42834</v>
      </c>
      <c r="G120">
        <v>3</v>
      </c>
      <c r="H120" t="s">
        <v>19</v>
      </c>
      <c r="I120" t="s">
        <v>236</v>
      </c>
    </row>
    <row r="121" spans="1:9" x14ac:dyDescent="0.25">
      <c r="A121" t="s">
        <v>237</v>
      </c>
      <c r="B121" t="str">
        <f>PROPER(Table15[[#This Row],[NAME2]])</f>
        <v>Eve Adams</v>
      </c>
      <c r="C121" t="s">
        <v>26</v>
      </c>
      <c r="D121" t="s">
        <v>64</v>
      </c>
      <c r="E121">
        <v>44358</v>
      </c>
      <c r="F121" s="15">
        <v>42841</v>
      </c>
      <c r="G121">
        <v>3</v>
      </c>
      <c r="H121" t="s">
        <v>36</v>
      </c>
      <c r="I121" t="s">
        <v>71</v>
      </c>
    </row>
    <row r="122" spans="1:9" x14ac:dyDescent="0.25">
      <c r="A122" t="s">
        <v>238</v>
      </c>
      <c r="B122" t="str">
        <f>PROPER(Table15[[#This Row],[NAME2]])</f>
        <v>Unknown</v>
      </c>
      <c r="C122" t="s">
        <v>34</v>
      </c>
      <c r="D122" t="s">
        <v>27</v>
      </c>
      <c r="E122">
        <v>66280</v>
      </c>
      <c r="F122" s="15" t="s">
        <v>13</v>
      </c>
      <c r="G122">
        <v>5</v>
      </c>
      <c r="H122" t="s">
        <v>13</v>
      </c>
      <c r="I122" t="s">
        <v>239</v>
      </c>
    </row>
    <row r="123" spans="1:9" x14ac:dyDescent="0.25">
      <c r="A123" t="s">
        <v>240</v>
      </c>
      <c r="B123" t="str">
        <f>PROPER(Table15[[#This Row],[NAME2]])</f>
        <v>Chris Lee</v>
      </c>
      <c r="C123" t="s">
        <v>26</v>
      </c>
      <c r="D123" t="s">
        <v>27</v>
      </c>
      <c r="E123">
        <v>45676</v>
      </c>
      <c r="F123" s="15">
        <v>42855</v>
      </c>
      <c r="G123">
        <v>2</v>
      </c>
      <c r="H123" t="s">
        <v>19</v>
      </c>
      <c r="I123" t="s">
        <v>241</v>
      </c>
    </row>
    <row r="124" spans="1:9" x14ac:dyDescent="0.25">
      <c r="A124" t="s">
        <v>242</v>
      </c>
      <c r="B124" t="str">
        <f>PROPER(Table15[[#This Row],[NAME2]])</f>
        <v>Bob Johnson</v>
      </c>
      <c r="C124" t="s">
        <v>26</v>
      </c>
      <c r="D124" t="s">
        <v>18</v>
      </c>
      <c r="E124">
        <v>52036</v>
      </c>
      <c r="F124" s="15">
        <v>42862</v>
      </c>
      <c r="G124">
        <v>3</v>
      </c>
      <c r="H124" t="s">
        <v>28</v>
      </c>
      <c r="I124" t="s">
        <v>243</v>
      </c>
    </row>
    <row r="125" spans="1:9" x14ac:dyDescent="0.25">
      <c r="A125" t="s">
        <v>244</v>
      </c>
      <c r="B125" t="str">
        <f>PROPER(Table15[[#This Row],[NAME2]])</f>
        <v>Jane Smith</v>
      </c>
      <c r="C125" t="s">
        <v>42</v>
      </c>
      <c r="D125" t="s">
        <v>18</v>
      </c>
      <c r="E125">
        <v>30357</v>
      </c>
      <c r="F125" s="15">
        <v>42869</v>
      </c>
      <c r="G125">
        <v>5</v>
      </c>
      <c r="H125" t="s">
        <v>28</v>
      </c>
      <c r="I125" t="s">
        <v>182</v>
      </c>
    </row>
    <row r="126" spans="1:9" x14ac:dyDescent="0.25">
      <c r="A126" t="s">
        <v>245</v>
      </c>
      <c r="B126" t="str">
        <f>PROPER(Table15[[#This Row],[NAME2]])</f>
        <v>John Doe</v>
      </c>
      <c r="C126" t="s">
        <v>34</v>
      </c>
      <c r="D126" t="s">
        <v>35</v>
      </c>
      <c r="E126">
        <v>60034</v>
      </c>
      <c r="F126" s="15">
        <v>42876</v>
      </c>
      <c r="G126">
        <v>1</v>
      </c>
      <c r="H126" t="s">
        <v>36</v>
      </c>
      <c r="I126" t="s">
        <v>246</v>
      </c>
    </row>
    <row r="127" spans="1:9" x14ac:dyDescent="0.25">
      <c r="A127" t="s">
        <v>247</v>
      </c>
      <c r="B127" t="str">
        <f>PROPER(Table15[[#This Row],[NAME2]])</f>
        <v>John Doe</v>
      </c>
      <c r="C127" t="s">
        <v>10</v>
      </c>
      <c r="D127" t="s">
        <v>295</v>
      </c>
      <c r="E127">
        <v>90019</v>
      </c>
      <c r="F127" s="15">
        <v>42883</v>
      </c>
      <c r="G127">
        <v>5</v>
      </c>
      <c r="H127" t="s">
        <v>19</v>
      </c>
      <c r="I127" t="s">
        <v>248</v>
      </c>
    </row>
    <row r="128" spans="1:9" x14ac:dyDescent="0.25">
      <c r="A128" t="s">
        <v>249</v>
      </c>
      <c r="B128" t="str">
        <f>PROPER(Table15[[#This Row],[NAME2]])</f>
        <v>Bob Johnson</v>
      </c>
      <c r="C128" t="s">
        <v>42</v>
      </c>
      <c r="D128" t="s">
        <v>18</v>
      </c>
      <c r="E128">
        <v>71494</v>
      </c>
      <c r="F128" s="15">
        <v>42890</v>
      </c>
      <c r="G128">
        <v>3</v>
      </c>
      <c r="H128" t="s">
        <v>28</v>
      </c>
      <c r="I128" t="s">
        <v>250</v>
      </c>
    </row>
    <row r="129" spans="1:9" x14ac:dyDescent="0.25">
      <c r="A129" t="s">
        <v>251</v>
      </c>
      <c r="B129" t="str">
        <f>PROPER(Table15[[#This Row],[NAME2]])</f>
        <v>John Doe</v>
      </c>
      <c r="C129" t="s">
        <v>10</v>
      </c>
      <c r="D129" t="s">
        <v>27</v>
      </c>
      <c r="E129">
        <v>91953</v>
      </c>
      <c r="F129" s="15">
        <v>42897</v>
      </c>
      <c r="G129">
        <v>2</v>
      </c>
      <c r="H129" t="s">
        <v>28</v>
      </c>
      <c r="I129" t="s">
        <v>89</v>
      </c>
    </row>
    <row r="130" spans="1:9" x14ac:dyDescent="0.25">
      <c r="A130" t="s">
        <v>252</v>
      </c>
      <c r="B130" t="str">
        <f>PROPER(Table15[[#This Row],[NAME2]])</f>
        <v>Chris Lee</v>
      </c>
      <c r="C130" t="s">
        <v>26</v>
      </c>
      <c r="D130" t="s">
        <v>27</v>
      </c>
      <c r="E130">
        <v>30402</v>
      </c>
      <c r="F130" s="15">
        <v>42904</v>
      </c>
      <c r="G130">
        <v>1</v>
      </c>
      <c r="H130" t="s">
        <v>19</v>
      </c>
      <c r="I130" t="s">
        <v>253</v>
      </c>
    </row>
    <row r="131" spans="1:9" x14ac:dyDescent="0.25">
      <c r="A131" t="s">
        <v>254</v>
      </c>
      <c r="B131" t="str">
        <f>PROPER(Table15[[#This Row],[NAME2]])</f>
        <v>Bob Johnson</v>
      </c>
      <c r="C131" t="s">
        <v>42</v>
      </c>
      <c r="D131" t="s">
        <v>47</v>
      </c>
      <c r="E131">
        <v>62994</v>
      </c>
      <c r="F131" s="15">
        <v>42911</v>
      </c>
      <c r="G131">
        <v>3</v>
      </c>
      <c r="H131" t="s">
        <v>19</v>
      </c>
      <c r="I131" t="s">
        <v>114</v>
      </c>
    </row>
    <row r="132" spans="1:9" x14ac:dyDescent="0.25">
      <c r="A132" t="s">
        <v>255</v>
      </c>
      <c r="B132" t="str">
        <f>PROPER(Table15[[#This Row],[NAME2]])</f>
        <v>Alice Brown</v>
      </c>
      <c r="C132" t="s">
        <v>26</v>
      </c>
      <c r="D132" t="s">
        <v>35</v>
      </c>
      <c r="E132">
        <v>48289</v>
      </c>
      <c r="F132" s="15" t="s">
        <v>13</v>
      </c>
      <c r="G132">
        <v>3</v>
      </c>
      <c r="H132" t="s">
        <v>28</v>
      </c>
      <c r="I132" t="s">
        <v>45</v>
      </c>
    </row>
    <row r="133" spans="1:9" x14ac:dyDescent="0.25">
      <c r="A133" t="s">
        <v>256</v>
      </c>
      <c r="B133" t="str">
        <f>PROPER(Table15[[#This Row],[NAME2]])</f>
        <v>Sam Wilson</v>
      </c>
      <c r="C133" t="s">
        <v>42</v>
      </c>
      <c r="D133" t="s">
        <v>18</v>
      </c>
      <c r="E133">
        <v>34402</v>
      </c>
      <c r="F133" s="15">
        <v>42925</v>
      </c>
      <c r="G133">
        <v>3</v>
      </c>
      <c r="H133" t="s">
        <v>19</v>
      </c>
      <c r="I133" t="s">
        <v>108</v>
      </c>
    </row>
    <row r="134" spans="1:9" x14ac:dyDescent="0.25">
      <c r="A134" t="s">
        <v>257</v>
      </c>
      <c r="B134" t="str">
        <f>PROPER(Table15[[#This Row],[NAME2]])</f>
        <v>Eve Adams</v>
      </c>
      <c r="C134" t="s">
        <v>17</v>
      </c>
      <c r="D134" t="s">
        <v>27</v>
      </c>
      <c r="E134">
        <v>38678</v>
      </c>
      <c r="F134" s="15">
        <v>42932</v>
      </c>
      <c r="G134">
        <v>3</v>
      </c>
      <c r="H134" t="s">
        <v>19</v>
      </c>
      <c r="I134" t="s">
        <v>258</v>
      </c>
    </row>
    <row r="135" spans="1:9" x14ac:dyDescent="0.25">
      <c r="A135" t="s">
        <v>259</v>
      </c>
      <c r="B135" t="str">
        <f>PROPER(Table15[[#This Row],[NAME2]])</f>
        <v>Chris Lee</v>
      </c>
      <c r="C135" t="s">
        <v>17</v>
      </c>
      <c r="D135" t="s">
        <v>18</v>
      </c>
      <c r="E135">
        <v>45758</v>
      </c>
      <c r="F135" s="15">
        <v>42939</v>
      </c>
      <c r="G135">
        <v>3</v>
      </c>
      <c r="H135" t="s">
        <v>19</v>
      </c>
      <c r="I135" t="s">
        <v>225</v>
      </c>
    </row>
    <row r="136" spans="1:9" x14ac:dyDescent="0.25">
      <c r="A136" t="s">
        <v>260</v>
      </c>
      <c r="B136" t="str">
        <f>PROPER(Table15[[#This Row],[NAME2]])</f>
        <v>Eve Adams</v>
      </c>
      <c r="C136" t="s">
        <v>42</v>
      </c>
      <c r="D136" t="s">
        <v>35</v>
      </c>
      <c r="E136">
        <v>62476</v>
      </c>
      <c r="F136" s="15">
        <v>42946</v>
      </c>
      <c r="G136">
        <v>1</v>
      </c>
      <c r="H136" t="s">
        <v>19</v>
      </c>
      <c r="I136" t="s">
        <v>138</v>
      </c>
    </row>
    <row r="137" spans="1:9" x14ac:dyDescent="0.25">
      <c r="A137" t="s">
        <v>261</v>
      </c>
      <c r="B137" t="str">
        <f>PROPER(Table15[[#This Row],[NAME2]])</f>
        <v>Unknown</v>
      </c>
      <c r="C137" t="s">
        <v>34</v>
      </c>
      <c r="D137" t="s">
        <v>47</v>
      </c>
      <c r="E137">
        <v>39280</v>
      </c>
      <c r="F137" s="15">
        <v>42953</v>
      </c>
      <c r="G137">
        <v>3</v>
      </c>
      <c r="H137" t="s">
        <v>36</v>
      </c>
      <c r="I137" t="s">
        <v>99</v>
      </c>
    </row>
    <row r="138" spans="1:9" x14ac:dyDescent="0.25">
      <c r="A138" t="s">
        <v>262</v>
      </c>
      <c r="B138" t="str">
        <f>PROPER(Table15[[#This Row],[NAME2]])</f>
        <v>Jane Smith</v>
      </c>
      <c r="C138" t="s">
        <v>10</v>
      </c>
      <c r="D138" t="s">
        <v>35</v>
      </c>
      <c r="E138">
        <v>60335</v>
      </c>
      <c r="F138" s="15">
        <v>42960</v>
      </c>
      <c r="G138">
        <v>4</v>
      </c>
      <c r="H138" t="s">
        <v>19</v>
      </c>
      <c r="I138" t="s">
        <v>129</v>
      </c>
    </row>
    <row r="139" spans="1:9" x14ac:dyDescent="0.25">
      <c r="A139" t="s">
        <v>263</v>
      </c>
      <c r="B139" t="str">
        <f>PROPER(Table15[[#This Row],[NAME2]])</f>
        <v>Chris Lee</v>
      </c>
      <c r="C139" t="s">
        <v>17</v>
      </c>
      <c r="D139" t="s">
        <v>18</v>
      </c>
      <c r="E139">
        <v>84968</v>
      </c>
      <c r="F139" s="15">
        <v>42967</v>
      </c>
      <c r="G139">
        <v>3</v>
      </c>
      <c r="H139" t="s">
        <v>19</v>
      </c>
      <c r="I139" t="s">
        <v>264</v>
      </c>
    </row>
    <row r="140" spans="1:9" x14ac:dyDescent="0.25">
      <c r="A140" t="s">
        <v>265</v>
      </c>
      <c r="B140" t="str">
        <f>PROPER(Table15[[#This Row],[NAME2]])</f>
        <v>Chris Lee</v>
      </c>
      <c r="C140" t="s">
        <v>42</v>
      </c>
      <c r="D140" t="s">
        <v>64</v>
      </c>
      <c r="E140">
        <v>84750</v>
      </c>
      <c r="F140" s="15">
        <v>42974</v>
      </c>
      <c r="G140">
        <v>4</v>
      </c>
      <c r="H140" t="s">
        <v>36</v>
      </c>
      <c r="I140" t="s">
        <v>60</v>
      </c>
    </row>
    <row r="141" spans="1:9" x14ac:dyDescent="0.25">
      <c r="A141" t="s">
        <v>266</v>
      </c>
      <c r="B141" t="str">
        <f>PROPER(Table15[[#This Row],[NAME2]])</f>
        <v>Bob Johnson</v>
      </c>
      <c r="C141" t="s">
        <v>34</v>
      </c>
      <c r="D141" t="s">
        <v>35</v>
      </c>
      <c r="E141">
        <v>73348</v>
      </c>
      <c r="F141" s="15">
        <v>42981</v>
      </c>
      <c r="G141">
        <v>2</v>
      </c>
      <c r="H141" t="s">
        <v>19</v>
      </c>
      <c r="I141" t="s">
        <v>171</v>
      </c>
    </row>
    <row r="142" spans="1:9" x14ac:dyDescent="0.25">
      <c r="A142" t="s">
        <v>267</v>
      </c>
      <c r="B142" t="str">
        <f>PROPER(Table15[[#This Row],[NAME2]])</f>
        <v>Chris Lee</v>
      </c>
      <c r="C142" t="s">
        <v>26</v>
      </c>
      <c r="D142" t="s">
        <v>27</v>
      </c>
      <c r="E142">
        <v>66280</v>
      </c>
      <c r="F142" s="15">
        <v>42988</v>
      </c>
      <c r="G142">
        <v>4</v>
      </c>
      <c r="H142" t="s">
        <v>19</v>
      </c>
      <c r="I142" t="s">
        <v>14</v>
      </c>
    </row>
    <row r="143" spans="1:9" x14ac:dyDescent="0.25">
      <c r="A143" t="s">
        <v>268</v>
      </c>
      <c r="B143" t="str">
        <f>PROPER(Table15[[#This Row],[NAME2]])</f>
        <v>Jane Smith</v>
      </c>
      <c r="C143" t="s">
        <v>42</v>
      </c>
      <c r="D143" t="s">
        <v>27</v>
      </c>
      <c r="E143">
        <v>66882</v>
      </c>
      <c r="F143" s="15">
        <v>42995</v>
      </c>
      <c r="G143">
        <v>5</v>
      </c>
      <c r="H143" t="s">
        <v>19</v>
      </c>
      <c r="I143" t="s">
        <v>85</v>
      </c>
    </row>
    <row r="144" spans="1:9" x14ac:dyDescent="0.25">
      <c r="A144" t="s">
        <v>269</v>
      </c>
      <c r="B144" t="str">
        <f>PROPER(Table15[[#This Row],[NAME2]])</f>
        <v>Alice Brown</v>
      </c>
      <c r="C144" t="s">
        <v>42</v>
      </c>
      <c r="D144" t="s">
        <v>35</v>
      </c>
      <c r="E144">
        <v>86775</v>
      </c>
      <c r="F144" s="15">
        <v>43002</v>
      </c>
      <c r="G144">
        <v>3</v>
      </c>
      <c r="H144" t="s">
        <v>19</v>
      </c>
      <c r="I144" t="s">
        <v>95</v>
      </c>
    </row>
    <row r="145" spans="1:9" x14ac:dyDescent="0.25">
      <c r="A145" t="s">
        <v>270</v>
      </c>
      <c r="B145" t="str">
        <f>PROPER(Table15[[#This Row],[NAME2]])</f>
        <v>Chris Lee</v>
      </c>
      <c r="C145" t="s">
        <v>26</v>
      </c>
      <c r="D145" t="s">
        <v>47</v>
      </c>
      <c r="E145">
        <v>91620</v>
      </c>
      <c r="F145" s="15">
        <v>43009</v>
      </c>
      <c r="G145">
        <v>3</v>
      </c>
      <c r="H145" t="s">
        <v>19</v>
      </c>
      <c r="I145" t="s">
        <v>271</v>
      </c>
    </row>
    <row r="146" spans="1:9" x14ac:dyDescent="0.25">
      <c r="A146" t="s">
        <v>272</v>
      </c>
      <c r="B146" t="str">
        <f>PROPER(Table15[[#This Row],[NAME2]])</f>
        <v>Eve Adams</v>
      </c>
      <c r="C146" t="s">
        <v>42</v>
      </c>
      <c r="D146" t="s">
        <v>35</v>
      </c>
      <c r="E146">
        <v>94148</v>
      </c>
      <c r="F146" s="15">
        <v>43016</v>
      </c>
      <c r="G146">
        <v>2</v>
      </c>
      <c r="H146" t="s">
        <v>19</v>
      </c>
      <c r="I146" t="s">
        <v>273</v>
      </c>
    </row>
    <row r="147" spans="1:9" x14ac:dyDescent="0.25">
      <c r="A147" t="s">
        <v>274</v>
      </c>
      <c r="B147" t="str">
        <f>PROPER(Table15[[#This Row],[NAME2]])</f>
        <v>Sam Wilson</v>
      </c>
      <c r="C147" t="s">
        <v>26</v>
      </c>
      <c r="D147" t="s">
        <v>64</v>
      </c>
      <c r="E147">
        <v>35627</v>
      </c>
      <c r="F147" s="15">
        <v>43023</v>
      </c>
      <c r="G147">
        <v>5</v>
      </c>
      <c r="H147" t="s">
        <v>36</v>
      </c>
      <c r="I147" t="s">
        <v>258</v>
      </c>
    </row>
    <row r="148" spans="1:9" x14ac:dyDescent="0.25">
      <c r="A148" t="s">
        <v>275</v>
      </c>
      <c r="B148" t="str">
        <f>PROPER(Table15[[#This Row],[NAME2]])</f>
        <v>John Doe</v>
      </c>
      <c r="C148" t="s">
        <v>42</v>
      </c>
      <c r="D148" t="s">
        <v>27</v>
      </c>
      <c r="E148">
        <v>57141</v>
      </c>
      <c r="F148" s="15">
        <v>43030</v>
      </c>
      <c r="G148">
        <v>2</v>
      </c>
      <c r="H148" t="s">
        <v>19</v>
      </c>
      <c r="I148" t="s">
        <v>264</v>
      </c>
    </row>
    <row r="149" spans="1:9" x14ac:dyDescent="0.25">
      <c r="A149" t="s">
        <v>276</v>
      </c>
      <c r="B149" t="str">
        <f>PROPER(Table15[[#This Row],[NAME2]])</f>
        <v>Bob Johnson</v>
      </c>
      <c r="C149" t="s">
        <v>26</v>
      </c>
      <c r="D149" t="s">
        <v>64</v>
      </c>
      <c r="E149">
        <v>65270</v>
      </c>
      <c r="F149" s="15">
        <v>43037</v>
      </c>
      <c r="G149">
        <v>1</v>
      </c>
      <c r="H149" t="s">
        <v>19</v>
      </c>
      <c r="I149" t="s">
        <v>277</v>
      </c>
    </row>
    <row r="150" spans="1:9" x14ac:dyDescent="0.25">
      <c r="A150" t="s">
        <v>278</v>
      </c>
      <c r="B150" t="str">
        <f>PROPER(Table15[[#This Row],[NAME2]])</f>
        <v>Bob Johnson</v>
      </c>
      <c r="C150" t="s">
        <v>42</v>
      </c>
      <c r="D150" t="s">
        <v>47</v>
      </c>
      <c r="E150">
        <v>67335</v>
      </c>
      <c r="F150" s="15">
        <v>43044</v>
      </c>
      <c r="G150">
        <v>1</v>
      </c>
      <c r="H150" t="s">
        <v>19</v>
      </c>
      <c r="I150" t="s">
        <v>144</v>
      </c>
    </row>
    <row r="151" spans="1:9" x14ac:dyDescent="0.25">
      <c r="A151" t="s">
        <v>279</v>
      </c>
      <c r="B151" t="str">
        <f>PROPER(Table15[[#This Row],[NAME2]])</f>
        <v>Sam Wilson</v>
      </c>
      <c r="C151" t="s">
        <v>42</v>
      </c>
      <c r="D151" t="s">
        <v>35</v>
      </c>
      <c r="E151">
        <v>98475</v>
      </c>
      <c r="F151" s="15">
        <v>43051</v>
      </c>
      <c r="G151">
        <v>5</v>
      </c>
      <c r="H151" t="s">
        <v>19</v>
      </c>
      <c r="I151" t="s">
        <v>280</v>
      </c>
    </row>
  </sheetData>
  <dataValidations count="1">
    <dataValidation type="list" allowBlank="1" showInputMessage="1" showErrorMessage="1" sqref="C1:C151" xr:uid="{E1D0F820-D6E8-4FE8-BF9C-7C50A24D38CD}">
      <formula1>$C:$C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A14E22-94B5-41D8-8CC3-2238F44150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 (2)</vt:lpstr>
      <vt:lpstr>Sheet1</vt:lpstr>
      <vt:lpstr>CLEANING</vt:lpstr>
      <vt:lpstr>Drop down list</vt:lpstr>
      <vt:lpstr>Data(Dropdown)</vt:lpstr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2026-01-03T11:48:59Z</dcterms:created>
  <dcterms:modified xsi:type="dcterms:W3CDTF">2026-01-05T16:43:22Z</dcterms:modified>
</cp:coreProperties>
</file>